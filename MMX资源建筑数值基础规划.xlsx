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30" windowHeight="8295" firstSheet="1" activeTab="4"/>
  </bookViews>
  <sheets>
    <sheet name="总体目标" sheetId="6" r:id="rId1"/>
    <sheet name="重要规划与假设" sheetId="7" r:id="rId2"/>
    <sheet name="FAQ" sheetId="8" r:id="rId3"/>
    <sheet name="table (no research)" sheetId="1" r:id="rId4"/>
    <sheet name="table (after research)" sheetId="12" r:id="rId5"/>
    <sheet name="resource product" sheetId="3" r:id="rId6"/>
    <sheet name="resource_storage" sheetId="13" r:id="rId7"/>
    <sheet name="city building" sheetId="14" r:id="rId8"/>
    <sheet name="Research Enhancing" sheetId="10" r:id="rId9"/>
    <sheet name="resource needed- 3 types" sheetId="15" state="hidden" r:id="rId10"/>
    <sheet name="reward percentage" sheetId="5" r:id="rId11"/>
    <sheet name="gow data" sheetId="4" state="hidden" r:id="rId12"/>
    <sheet name="功能建筑权重" sheetId="9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" i="14" l="1"/>
  <c r="I57" i="14"/>
  <c r="J57" i="14"/>
  <c r="H58" i="14"/>
  <c r="I58" i="14"/>
  <c r="J58" i="14"/>
  <c r="H59" i="14"/>
  <c r="I59" i="14"/>
  <c r="J59" i="14"/>
  <c r="H60" i="14"/>
  <c r="I60" i="14"/>
  <c r="J60" i="14"/>
  <c r="H61" i="14"/>
  <c r="I61" i="14"/>
  <c r="J61" i="14"/>
  <c r="H62" i="14"/>
  <c r="I62" i="14"/>
  <c r="J62" i="14"/>
  <c r="H63" i="14"/>
  <c r="I63" i="14"/>
  <c r="J63" i="14"/>
  <c r="H64" i="14"/>
  <c r="I64" i="14"/>
  <c r="J64" i="14"/>
  <c r="H65" i="14"/>
  <c r="I65" i="14"/>
  <c r="J65" i="14"/>
  <c r="H66" i="14"/>
  <c r="I66" i="14"/>
  <c r="J66" i="14"/>
  <c r="H67" i="14"/>
  <c r="I67" i="14"/>
  <c r="J67" i="14"/>
  <c r="H68" i="14"/>
  <c r="I68" i="14"/>
  <c r="J68" i="14"/>
  <c r="H69" i="14"/>
  <c r="I69" i="14"/>
  <c r="J69" i="14"/>
  <c r="H70" i="14"/>
  <c r="I70" i="14"/>
  <c r="J70" i="14"/>
  <c r="H71" i="14"/>
  <c r="I71" i="14"/>
  <c r="J71" i="14"/>
  <c r="H72" i="14"/>
  <c r="I72" i="14"/>
  <c r="J72" i="14"/>
  <c r="H73" i="14"/>
  <c r="I73" i="14"/>
  <c r="J73" i="14"/>
  <c r="H74" i="14"/>
  <c r="I74" i="14"/>
  <c r="J74" i="14"/>
  <c r="H75" i="14"/>
  <c r="I75" i="14"/>
  <c r="J75" i="14"/>
  <c r="H76" i="14"/>
  <c r="I76" i="14"/>
  <c r="J76" i="14"/>
  <c r="H77" i="14"/>
  <c r="I77" i="14"/>
  <c r="J77" i="14"/>
  <c r="H78" i="14"/>
  <c r="I78" i="14"/>
  <c r="J78" i="14"/>
  <c r="H79" i="14"/>
  <c r="I79" i="14"/>
  <c r="J79" i="14"/>
  <c r="H80" i="14"/>
  <c r="I80" i="14"/>
  <c r="J80" i="14"/>
  <c r="J56" i="14"/>
  <c r="I56" i="14"/>
  <c r="H56" i="14"/>
  <c r="H32" i="14"/>
  <c r="I32" i="14"/>
  <c r="J32" i="14"/>
  <c r="H33" i="14"/>
  <c r="I33" i="14"/>
  <c r="J33" i="14"/>
  <c r="H34" i="14"/>
  <c r="I34" i="14"/>
  <c r="J34" i="14"/>
  <c r="H35" i="14"/>
  <c r="I35" i="14"/>
  <c r="J35" i="14"/>
  <c r="H36" i="14"/>
  <c r="I36" i="14"/>
  <c r="J36" i="14"/>
  <c r="H37" i="14"/>
  <c r="I37" i="14"/>
  <c r="J37" i="14"/>
  <c r="H38" i="14"/>
  <c r="I38" i="14"/>
  <c r="J38" i="14"/>
  <c r="H39" i="14"/>
  <c r="I39" i="14"/>
  <c r="J39" i="14"/>
  <c r="H40" i="14"/>
  <c r="I40" i="14"/>
  <c r="J40" i="14"/>
  <c r="H41" i="14"/>
  <c r="I41" i="14"/>
  <c r="J41" i="14"/>
  <c r="H42" i="14"/>
  <c r="I42" i="14"/>
  <c r="J42" i="14"/>
  <c r="H43" i="14"/>
  <c r="I43" i="14"/>
  <c r="J43" i="14"/>
  <c r="H44" i="14"/>
  <c r="I44" i="14"/>
  <c r="J44" i="14"/>
  <c r="H45" i="14"/>
  <c r="I45" i="14"/>
  <c r="J45" i="14"/>
  <c r="H46" i="14"/>
  <c r="I46" i="14"/>
  <c r="J46" i="14"/>
  <c r="H47" i="14"/>
  <c r="I47" i="14"/>
  <c r="J47" i="14"/>
  <c r="H48" i="14"/>
  <c r="I48" i="14"/>
  <c r="J48" i="14"/>
  <c r="H49" i="14"/>
  <c r="I49" i="14"/>
  <c r="J49" i="14"/>
  <c r="H50" i="14"/>
  <c r="I50" i="14"/>
  <c r="J50" i="14"/>
  <c r="H51" i="14"/>
  <c r="I51" i="14"/>
  <c r="J51" i="14"/>
  <c r="H52" i="14"/>
  <c r="I52" i="14"/>
  <c r="J52" i="14"/>
  <c r="H53" i="14"/>
  <c r="I53" i="14"/>
  <c r="J53" i="14"/>
  <c r="H54" i="14"/>
  <c r="I54" i="14"/>
  <c r="J54" i="14"/>
  <c r="H55" i="14"/>
  <c r="I55" i="14"/>
  <c r="J55" i="14"/>
  <c r="J31" i="14"/>
  <c r="I31" i="14"/>
  <c r="H31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6" i="14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3" i="15"/>
  <c r="E27" i="15"/>
  <c r="D27" i="15"/>
  <c r="C27" i="15"/>
  <c r="E26" i="15"/>
  <c r="D26" i="15"/>
  <c r="C26" i="15"/>
  <c r="E25" i="15"/>
  <c r="D25" i="15"/>
  <c r="C25" i="15"/>
  <c r="E24" i="15"/>
  <c r="D24" i="15"/>
  <c r="C24" i="15"/>
  <c r="E23" i="15"/>
  <c r="D23" i="15"/>
  <c r="C23" i="15"/>
  <c r="E22" i="15"/>
  <c r="D22" i="15"/>
  <c r="C22" i="15"/>
  <c r="E21" i="15"/>
  <c r="D21" i="15"/>
  <c r="C21" i="15"/>
  <c r="E20" i="15"/>
  <c r="D20" i="15"/>
  <c r="C20" i="15"/>
  <c r="E19" i="15"/>
  <c r="D19" i="15"/>
  <c r="C19" i="15"/>
  <c r="E18" i="15"/>
  <c r="D18" i="15"/>
  <c r="C18" i="15"/>
  <c r="E17" i="15"/>
  <c r="D17" i="15"/>
  <c r="C17" i="15"/>
  <c r="E16" i="15"/>
  <c r="D16" i="15"/>
  <c r="C16" i="15"/>
  <c r="E15" i="15"/>
  <c r="D15" i="15"/>
  <c r="C15" i="15"/>
  <c r="E14" i="15"/>
  <c r="D14" i="15"/>
  <c r="C14" i="15"/>
  <c r="E13" i="15"/>
  <c r="D13" i="15"/>
  <c r="C13" i="15"/>
  <c r="E12" i="15"/>
  <c r="D12" i="15"/>
  <c r="C12" i="15"/>
  <c r="E11" i="15"/>
  <c r="D11" i="15"/>
  <c r="C11" i="15"/>
  <c r="E10" i="15"/>
  <c r="D10" i="15"/>
  <c r="C10" i="15"/>
  <c r="E9" i="15"/>
  <c r="D9" i="15"/>
  <c r="C9" i="15"/>
  <c r="E8" i="15"/>
  <c r="D8" i="15"/>
  <c r="C8" i="15"/>
  <c r="E7" i="15"/>
  <c r="D7" i="15"/>
  <c r="C7" i="15"/>
  <c r="E6" i="15"/>
  <c r="D6" i="15"/>
  <c r="C6" i="15"/>
  <c r="E5" i="15"/>
  <c r="D5" i="15"/>
  <c r="C5" i="15"/>
  <c r="E4" i="15"/>
  <c r="D4" i="15"/>
  <c r="C4" i="15"/>
  <c r="E3" i="15"/>
  <c r="D3" i="15"/>
  <c r="C3" i="15"/>
  <c r="H27" i="15"/>
  <c r="G27" i="15"/>
  <c r="F27" i="15"/>
  <c r="H26" i="15"/>
  <c r="G26" i="15"/>
  <c r="F26" i="15"/>
  <c r="H25" i="15"/>
  <c r="G25" i="15"/>
  <c r="F25" i="15"/>
  <c r="H24" i="15"/>
  <c r="G24" i="15"/>
  <c r="F24" i="15"/>
  <c r="H23" i="15"/>
  <c r="G23" i="15"/>
  <c r="F23" i="15"/>
  <c r="H22" i="15"/>
  <c r="G22" i="15"/>
  <c r="F22" i="15"/>
  <c r="H21" i="15"/>
  <c r="G21" i="15"/>
  <c r="F21" i="15"/>
  <c r="H20" i="15"/>
  <c r="G20" i="15"/>
  <c r="F20" i="15"/>
  <c r="H19" i="15"/>
  <c r="G19" i="15"/>
  <c r="F19" i="15"/>
  <c r="H18" i="15"/>
  <c r="G18" i="15"/>
  <c r="F18" i="15"/>
  <c r="H17" i="15"/>
  <c r="G17" i="15"/>
  <c r="F17" i="15"/>
  <c r="H16" i="15"/>
  <c r="G16" i="15"/>
  <c r="F16" i="15"/>
  <c r="H15" i="15"/>
  <c r="G15" i="15"/>
  <c r="F15" i="15"/>
  <c r="H14" i="15"/>
  <c r="G14" i="15"/>
  <c r="F14" i="15"/>
  <c r="H13" i="15"/>
  <c r="G13" i="15"/>
  <c r="F13" i="15"/>
  <c r="H12" i="15"/>
  <c r="G12" i="15"/>
  <c r="F12" i="15"/>
  <c r="H11" i="15"/>
  <c r="G11" i="15"/>
  <c r="F11" i="15"/>
  <c r="H10" i="15"/>
  <c r="G10" i="15"/>
  <c r="F10" i="15"/>
  <c r="H9" i="15"/>
  <c r="G9" i="15"/>
  <c r="F9" i="15"/>
  <c r="H8" i="15"/>
  <c r="G8" i="15"/>
  <c r="F8" i="15"/>
  <c r="H7" i="15"/>
  <c r="G7" i="15"/>
  <c r="F7" i="15"/>
  <c r="H6" i="15"/>
  <c r="G6" i="15"/>
  <c r="F6" i="15"/>
  <c r="H5" i="15"/>
  <c r="G5" i="15"/>
  <c r="F5" i="15"/>
  <c r="H4" i="15"/>
  <c r="G4" i="15"/>
  <c r="F4" i="15"/>
  <c r="H3" i="15"/>
  <c r="G3" i="15"/>
  <c r="F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3" i="15"/>
  <c r="K27" i="15"/>
  <c r="J27" i="15"/>
  <c r="I27" i="15"/>
  <c r="K26" i="15"/>
  <c r="J26" i="15"/>
  <c r="I26" i="15"/>
  <c r="K25" i="15"/>
  <c r="J25" i="15"/>
  <c r="I25" i="15"/>
  <c r="K24" i="15"/>
  <c r="J24" i="15"/>
  <c r="I24" i="15"/>
  <c r="K23" i="15"/>
  <c r="J23" i="15"/>
  <c r="I23" i="15"/>
  <c r="K22" i="15"/>
  <c r="J22" i="15"/>
  <c r="I22" i="15"/>
  <c r="K21" i="15"/>
  <c r="J21" i="15"/>
  <c r="I21" i="15"/>
  <c r="K20" i="15"/>
  <c r="J20" i="15"/>
  <c r="I20" i="15"/>
  <c r="K19" i="15"/>
  <c r="J19" i="15"/>
  <c r="I19" i="15"/>
  <c r="K18" i="15"/>
  <c r="J18" i="15"/>
  <c r="I18" i="15"/>
  <c r="K17" i="15"/>
  <c r="J17" i="15"/>
  <c r="I17" i="15"/>
  <c r="K16" i="15"/>
  <c r="J16" i="15"/>
  <c r="I16" i="15"/>
  <c r="K15" i="15"/>
  <c r="J15" i="15"/>
  <c r="I15" i="15"/>
  <c r="K14" i="15"/>
  <c r="J14" i="15"/>
  <c r="I14" i="15"/>
  <c r="K13" i="15"/>
  <c r="J13" i="15"/>
  <c r="I13" i="15"/>
  <c r="K12" i="15"/>
  <c r="J12" i="15"/>
  <c r="I12" i="15"/>
  <c r="K11" i="15"/>
  <c r="J11" i="15"/>
  <c r="I11" i="15"/>
  <c r="K10" i="15"/>
  <c r="J10" i="15"/>
  <c r="I10" i="15"/>
  <c r="K9" i="15"/>
  <c r="J9" i="15"/>
  <c r="I9" i="15"/>
  <c r="K8" i="15"/>
  <c r="J8" i="15"/>
  <c r="I8" i="15"/>
  <c r="K7" i="15"/>
  <c r="J7" i="15"/>
  <c r="I7" i="15"/>
  <c r="K6" i="15"/>
  <c r="J6" i="15"/>
  <c r="I6" i="15"/>
  <c r="K5" i="15"/>
  <c r="J5" i="15"/>
  <c r="I5" i="15"/>
  <c r="K4" i="15"/>
  <c r="J4" i="15"/>
  <c r="K3" i="15"/>
  <c r="J3" i="15"/>
  <c r="I3" i="15"/>
  <c r="I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4" i="15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6" i="14"/>
  <c r="E56" i="13" l="1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55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31" i="13"/>
  <c r="E32" i="13"/>
  <c r="E33" i="13"/>
  <c r="E34" i="13"/>
  <c r="E30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5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30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5" i="1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5" i="3"/>
  <c r="F3" i="9"/>
  <c r="F4" i="9"/>
  <c r="F5" i="9"/>
  <c r="F6" i="9"/>
  <c r="F7" i="9"/>
  <c r="F8" i="9"/>
  <c r="F9" i="9"/>
  <c r="F10" i="9"/>
  <c r="F11" i="9"/>
  <c r="F12" i="9"/>
  <c r="F13" i="9"/>
  <c r="F2" i="9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5" i="3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F14" i="9" l="1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3" i="12"/>
  <c r="F4" i="12"/>
  <c r="L4" i="12" s="1"/>
  <c r="R4" i="12" s="1"/>
  <c r="F5" i="12"/>
  <c r="F6" i="12"/>
  <c r="F7" i="12"/>
  <c r="F8" i="12"/>
  <c r="F9" i="12"/>
  <c r="F10" i="12"/>
  <c r="F11" i="12"/>
  <c r="F12" i="12"/>
  <c r="L12" i="12" s="1"/>
  <c r="R12" i="12" s="1"/>
  <c r="F13" i="12"/>
  <c r="F14" i="12"/>
  <c r="F15" i="12"/>
  <c r="L15" i="12" s="1"/>
  <c r="R15" i="12" s="1"/>
  <c r="F16" i="12"/>
  <c r="F17" i="12"/>
  <c r="F18" i="12"/>
  <c r="F19" i="12"/>
  <c r="L19" i="12" s="1"/>
  <c r="R19" i="12" s="1"/>
  <c r="F20" i="12"/>
  <c r="F21" i="12"/>
  <c r="F22" i="12"/>
  <c r="F23" i="12"/>
  <c r="F24" i="12"/>
  <c r="F25" i="12"/>
  <c r="F26" i="12"/>
  <c r="F27" i="12"/>
  <c r="F3" i="12"/>
  <c r="E4" i="12"/>
  <c r="E5" i="12"/>
  <c r="E6" i="12"/>
  <c r="K6" i="12" s="1"/>
  <c r="Q6" i="12" s="1"/>
  <c r="E7" i="12"/>
  <c r="E8" i="12"/>
  <c r="K8" i="12" s="1"/>
  <c r="Q8" i="12" s="1"/>
  <c r="E9" i="12"/>
  <c r="K9" i="12" s="1"/>
  <c r="Q9" i="12" s="1"/>
  <c r="E10" i="12"/>
  <c r="E11" i="12"/>
  <c r="K11" i="12" s="1"/>
  <c r="Q11" i="12" s="1"/>
  <c r="E12" i="12"/>
  <c r="E13" i="12"/>
  <c r="E14" i="12"/>
  <c r="K14" i="12" s="1"/>
  <c r="Q14" i="12" s="1"/>
  <c r="E15" i="12"/>
  <c r="K15" i="12" s="1"/>
  <c r="Q15" i="12" s="1"/>
  <c r="E16" i="12"/>
  <c r="E17" i="12"/>
  <c r="E18" i="12"/>
  <c r="E19" i="12"/>
  <c r="K19" i="12" s="1"/>
  <c r="Q19" i="12" s="1"/>
  <c r="E20" i="12"/>
  <c r="E21" i="12"/>
  <c r="E22" i="12"/>
  <c r="K22" i="12" s="1"/>
  <c r="Q22" i="12" s="1"/>
  <c r="E23" i="12"/>
  <c r="E24" i="12"/>
  <c r="E25" i="12"/>
  <c r="E26" i="12"/>
  <c r="E27" i="12"/>
  <c r="E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3" i="12"/>
  <c r="B4" i="12"/>
  <c r="H4" i="12" s="1"/>
  <c r="B5" i="12"/>
  <c r="H5" i="12" s="1"/>
  <c r="N5" i="12" s="1"/>
  <c r="O5" i="12" s="1"/>
  <c r="B6" i="12"/>
  <c r="B7" i="12"/>
  <c r="D7" i="12" s="1"/>
  <c r="J7" i="12" s="1"/>
  <c r="P7" i="12" s="1"/>
  <c r="B8" i="12"/>
  <c r="H8" i="12" s="1"/>
  <c r="I8" i="12" s="1"/>
  <c r="B9" i="12"/>
  <c r="C9" i="12" s="1"/>
  <c r="B10" i="12"/>
  <c r="B11" i="12"/>
  <c r="H11" i="12" s="1"/>
  <c r="N11" i="12" s="1"/>
  <c r="O11" i="12" s="1"/>
  <c r="B12" i="12"/>
  <c r="D12" i="12" s="1"/>
  <c r="J12" i="12" s="1"/>
  <c r="P12" i="12" s="1"/>
  <c r="B13" i="12"/>
  <c r="C13" i="12" s="1"/>
  <c r="B14" i="12"/>
  <c r="B15" i="12"/>
  <c r="H15" i="12" s="1"/>
  <c r="N15" i="12" s="1"/>
  <c r="O15" i="12" s="1"/>
  <c r="B16" i="12"/>
  <c r="D16" i="12" s="1"/>
  <c r="J16" i="12" s="1"/>
  <c r="P16" i="12" s="1"/>
  <c r="B17" i="12"/>
  <c r="H17" i="12" s="1"/>
  <c r="B18" i="12"/>
  <c r="B19" i="12"/>
  <c r="H19" i="12" s="1"/>
  <c r="N19" i="12" s="1"/>
  <c r="O19" i="12" s="1"/>
  <c r="B20" i="12"/>
  <c r="D20" i="12" s="1"/>
  <c r="J20" i="12" s="1"/>
  <c r="P20" i="12" s="1"/>
  <c r="B21" i="12"/>
  <c r="D21" i="12" s="1"/>
  <c r="J21" i="12" s="1"/>
  <c r="P21" i="12" s="1"/>
  <c r="B22" i="12"/>
  <c r="B23" i="12"/>
  <c r="C23" i="12" s="1"/>
  <c r="B24" i="12"/>
  <c r="D24" i="12" s="1"/>
  <c r="J24" i="12" s="1"/>
  <c r="P24" i="12" s="1"/>
  <c r="B25" i="12"/>
  <c r="D25" i="12" s="1"/>
  <c r="J25" i="12" s="1"/>
  <c r="P25" i="12" s="1"/>
  <c r="B26" i="12"/>
  <c r="B27" i="12"/>
  <c r="C27" i="12" s="1"/>
  <c r="B3" i="12"/>
  <c r="C3" i="12" s="1"/>
  <c r="Q40" i="12"/>
  <c r="K40" i="12"/>
  <c r="O39" i="12"/>
  <c r="O40" i="12" s="1"/>
  <c r="I39" i="12"/>
  <c r="I40" i="12" s="1"/>
  <c r="Q37" i="12"/>
  <c r="Q38" i="12" s="1"/>
  <c r="K37" i="12"/>
  <c r="K38" i="12" s="1"/>
  <c r="C32" i="12"/>
  <c r="H27" i="12"/>
  <c r="I27" i="12" s="1"/>
  <c r="K27" i="12"/>
  <c r="Q27" i="12" s="1"/>
  <c r="H26" i="12"/>
  <c r="I26" i="12" s="1"/>
  <c r="D26" i="12"/>
  <c r="J26" i="12" s="1"/>
  <c r="P26" i="12" s="1"/>
  <c r="C26" i="12"/>
  <c r="H23" i="12"/>
  <c r="I23" i="12" s="1"/>
  <c r="K23" i="12"/>
  <c r="Q23" i="12" s="1"/>
  <c r="H22" i="12"/>
  <c r="I22" i="12" s="1"/>
  <c r="D22" i="12"/>
  <c r="J22" i="12" s="1"/>
  <c r="P22" i="12" s="1"/>
  <c r="C22" i="12"/>
  <c r="H21" i="12"/>
  <c r="I21" i="12" s="1"/>
  <c r="D19" i="12"/>
  <c r="J19" i="12" s="1"/>
  <c r="P19" i="12" s="1"/>
  <c r="H18" i="12"/>
  <c r="N18" i="12" s="1"/>
  <c r="O18" i="12" s="1"/>
  <c r="L18" i="12"/>
  <c r="R18" i="12" s="1"/>
  <c r="K18" i="12"/>
  <c r="Q18" i="12" s="1"/>
  <c r="D18" i="12"/>
  <c r="J18" i="12" s="1"/>
  <c r="P18" i="12" s="1"/>
  <c r="C18" i="12"/>
  <c r="C17" i="12"/>
  <c r="H16" i="12"/>
  <c r="I16" i="12" s="1"/>
  <c r="D15" i="12"/>
  <c r="J15" i="12" s="1"/>
  <c r="P15" i="12" s="1"/>
  <c r="C15" i="12"/>
  <c r="H14" i="12"/>
  <c r="N14" i="12" s="1"/>
  <c r="O14" i="12" s="1"/>
  <c r="D14" i="12"/>
  <c r="J14" i="12" s="1"/>
  <c r="P14" i="12" s="1"/>
  <c r="C14" i="12"/>
  <c r="D13" i="12"/>
  <c r="J13" i="12" s="1"/>
  <c r="P13" i="12" s="1"/>
  <c r="D11" i="12"/>
  <c r="J11" i="12" s="1"/>
  <c r="P11" i="12" s="1"/>
  <c r="H10" i="12"/>
  <c r="I10" i="12" s="1"/>
  <c r="K10" i="12"/>
  <c r="Q10" i="12" s="1"/>
  <c r="D10" i="12"/>
  <c r="J10" i="12" s="1"/>
  <c r="P10" i="12" s="1"/>
  <c r="C10" i="12"/>
  <c r="D9" i="12"/>
  <c r="J9" i="12" s="1"/>
  <c r="P9" i="12" s="1"/>
  <c r="H7" i="12"/>
  <c r="N7" i="12" s="1"/>
  <c r="O7" i="12" s="1"/>
  <c r="K7" i="12"/>
  <c r="Q7" i="12" s="1"/>
  <c r="J6" i="12"/>
  <c r="P6" i="12" s="1"/>
  <c r="H6" i="12"/>
  <c r="I6" i="12" s="1"/>
  <c r="D6" i="12"/>
  <c r="C6" i="12"/>
  <c r="K5" i="12"/>
  <c r="Q5" i="12" s="1"/>
  <c r="C5" i="12"/>
  <c r="K4" i="12"/>
  <c r="Q4" i="12" s="1"/>
  <c r="J3" i="12"/>
  <c r="K3" i="12"/>
  <c r="Q3" i="12" s="1"/>
  <c r="D3" i="1"/>
  <c r="F3" i="1" s="1"/>
  <c r="D4" i="1"/>
  <c r="F4" i="1" s="1"/>
  <c r="D5" i="1"/>
  <c r="F5" i="1"/>
  <c r="E5" i="1" s="1"/>
  <c r="G5" i="1"/>
  <c r="H5" i="1" s="1"/>
  <c r="D6" i="1"/>
  <c r="F6" i="1"/>
  <c r="G6" i="1" s="1"/>
  <c r="H6" i="1" s="1"/>
  <c r="D7" i="1"/>
  <c r="F7" i="1" s="1"/>
  <c r="D8" i="1"/>
  <c r="F8" i="1" s="1"/>
  <c r="D9" i="1"/>
  <c r="F9" i="1"/>
  <c r="E9" i="1" s="1"/>
  <c r="G9" i="1"/>
  <c r="H9" i="1" s="1"/>
  <c r="D10" i="1"/>
  <c r="F10" i="1"/>
  <c r="G10" i="1" s="1"/>
  <c r="H10" i="1" s="1"/>
  <c r="D11" i="1"/>
  <c r="F11" i="1" s="1"/>
  <c r="D12" i="1"/>
  <c r="F12" i="1" s="1"/>
  <c r="D13" i="1"/>
  <c r="F13" i="1"/>
  <c r="E13" i="1" s="1"/>
  <c r="G13" i="1"/>
  <c r="H13" i="1" s="1"/>
  <c r="D14" i="1"/>
  <c r="F14" i="1"/>
  <c r="G14" i="1" s="1"/>
  <c r="H14" i="1" s="1"/>
  <c r="D15" i="1"/>
  <c r="F15" i="1" s="1"/>
  <c r="D16" i="1"/>
  <c r="F16" i="1" s="1"/>
  <c r="D17" i="1"/>
  <c r="F17" i="1"/>
  <c r="E17" i="1" s="1"/>
  <c r="G17" i="1"/>
  <c r="H17" i="1" s="1"/>
  <c r="D18" i="1"/>
  <c r="F18" i="1"/>
  <c r="G18" i="1" s="1"/>
  <c r="H18" i="1" s="1"/>
  <c r="D19" i="1"/>
  <c r="F19" i="1" s="1"/>
  <c r="D20" i="1"/>
  <c r="F20" i="1" s="1"/>
  <c r="D21" i="1"/>
  <c r="F21" i="1"/>
  <c r="E21" i="1" s="1"/>
  <c r="G21" i="1"/>
  <c r="H21" i="1" s="1"/>
  <c r="D22" i="1"/>
  <c r="F22" i="1"/>
  <c r="G22" i="1" s="1"/>
  <c r="H22" i="1" s="1"/>
  <c r="D23" i="1"/>
  <c r="F23" i="1" s="1"/>
  <c r="D24" i="1"/>
  <c r="F24" i="1" s="1"/>
  <c r="D25" i="1"/>
  <c r="F25" i="1"/>
  <c r="E25" i="1" s="1"/>
  <c r="G25" i="1"/>
  <c r="H25" i="1" s="1"/>
  <c r="D26" i="1"/>
  <c r="F26" i="1"/>
  <c r="G26" i="1" s="1"/>
  <c r="H26" i="1" s="1"/>
  <c r="D27" i="1"/>
  <c r="F27" i="1" s="1"/>
  <c r="U5" i="12" l="1"/>
  <c r="X5" i="12" s="1"/>
  <c r="D4" i="12"/>
  <c r="J4" i="12" s="1"/>
  <c r="P4" i="12" s="1"/>
  <c r="N22" i="12"/>
  <c r="O22" i="12" s="1"/>
  <c r="H24" i="12"/>
  <c r="I24" i="12" s="1"/>
  <c r="H3" i="12"/>
  <c r="H28" i="12" s="1"/>
  <c r="I28" i="12" s="1"/>
  <c r="C7" i="12"/>
  <c r="D8" i="12"/>
  <c r="J8" i="12" s="1"/>
  <c r="P8" i="12" s="1"/>
  <c r="C11" i="12"/>
  <c r="C19" i="12"/>
  <c r="H20" i="12"/>
  <c r="N20" i="12" s="1"/>
  <c r="O20" i="12" s="1"/>
  <c r="C12" i="12"/>
  <c r="C8" i="12"/>
  <c r="H12" i="12"/>
  <c r="I12" i="12" s="1"/>
  <c r="D23" i="12"/>
  <c r="J23" i="12" s="1"/>
  <c r="P23" i="12" s="1"/>
  <c r="H25" i="12"/>
  <c r="N25" i="12" s="1"/>
  <c r="O25" i="12" s="1"/>
  <c r="D27" i="12"/>
  <c r="J27" i="12" s="1"/>
  <c r="P27" i="12" s="1"/>
  <c r="L20" i="12"/>
  <c r="R20" i="12" s="1"/>
  <c r="L24" i="12"/>
  <c r="R24" i="12" s="1"/>
  <c r="L16" i="12"/>
  <c r="R16" i="12" s="1"/>
  <c r="N4" i="12"/>
  <c r="O4" i="12" s="1"/>
  <c r="I4" i="12"/>
  <c r="N17" i="12"/>
  <c r="O17" i="12" s="1"/>
  <c r="I17" i="12"/>
  <c r="D5" i="12"/>
  <c r="J5" i="12" s="1"/>
  <c r="P5" i="12" s="1"/>
  <c r="D17" i="12"/>
  <c r="J17" i="12" s="1"/>
  <c r="P17" i="12" s="1"/>
  <c r="I18" i="12"/>
  <c r="C21" i="12"/>
  <c r="C25" i="12"/>
  <c r="I25" i="12"/>
  <c r="B28" i="12"/>
  <c r="B31" i="12" s="1"/>
  <c r="H9" i="12"/>
  <c r="N9" i="12" s="1"/>
  <c r="O9" i="12" s="1"/>
  <c r="H13" i="12"/>
  <c r="I15" i="12"/>
  <c r="C16" i="12"/>
  <c r="I19" i="12"/>
  <c r="C20" i="12"/>
  <c r="I20" i="12"/>
  <c r="C24" i="12"/>
  <c r="C4" i="12"/>
  <c r="V15" i="12"/>
  <c r="C28" i="12"/>
  <c r="N16" i="12"/>
  <c r="O16" i="12" s="1"/>
  <c r="N27" i="12"/>
  <c r="O27" i="12" s="1"/>
  <c r="N3" i="12"/>
  <c r="V3" i="12" s="1"/>
  <c r="I5" i="12"/>
  <c r="L6" i="12"/>
  <c r="R6" i="12" s="1"/>
  <c r="N6" i="12"/>
  <c r="O6" i="12" s="1"/>
  <c r="I7" i="12"/>
  <c r="L8" i="12"/>
  <c r="R8" i="12" s="1"/>
  <c r="N8" i="12"/>
  <c r="O8" i="12" s="1"/>
  <c r="I9" i="12"/>
  <c r="L10" i="12"/>
  <c r="R10" i="12" s="1"/>
  <c r="N10" i="12"/>
  <c r="O10" i="12" s="1"/>
  <c r="I11" i="12"/>
  <c r="I14" i="12"/>
  <c r="N21" i="12"/>
  <c r="O21" i="12" s="1"/>
  <c r="L23" i="12"/>
  <c r="R23" i="12" s="1"/>
  <c r="K24" i="12"/>
  <c r="Q24" i="12" s="1"/>
  <c r="N26" i="12"/>
  <c r="O26" i="12" s="1"/>
  <c r="D28" i="12"/>
  <c r="V19" i="12"/>
  <c r="K20" i="12"/>
  <c r="Q20" i="12" s="1"/>
  <c r="N23" i="12"/>
  <c r="O23" i="12" s="1"/>
  <c r="N24" i="12"/>
  <c r="O24" i="12" s="1"/>
  <c r="V11" i="12"/>
  <c r="K12" i="12"/>
  <c r="Q12" i="12" s="1"/>
  <c r="K16" i="12"/>
  <c r="Q16" i="12" s="1"/>
  <c r="L27" i="12"/>
  <c r="R27" i="12" s="1"/>
  <c r="V5" i="12"/>
  <c r="Y5" i="12" s="1"/>
  <c r="V6" i="12"/>
  <c r="Y6" i="12" s="1"/>
  <c r="V7" i="12"/>
  <c r="V8" i="12"/>
  <c r="Y8" i="12" s="1"/>
  <c r="V9" i="12"/>
  <c r="Y9" i="12" s="1"/>
  <c r="V10" i="12"/>
  <c r="Y10" i="12" s="1"/>
  <c r="P3" i="12"/>
  <c r="V4" i="12"/>
  <c r="K17" i="12"/>
  <c r="Q17" i="12" s="1"/>
  <c r="L17" i="12"/>
  <c r="R17" i="12" s="1"/>
  <c r="K25" i="12"/>
  <c r="Q25" i="12" s="1"/>
  <c r="V25" i="12" s="1"/>
  <c r="Y25" i="12" s="1"/>
  <c r="L25" i="12"/>
  <c r="R25" i="12" s="1"/>
  <c r="L3" i="12"/>
  <c r="R3" i="12" s="1"/>
  <c r="L5" i="12"/>
  <c r="R5" i="12" s="1"/>
  <c r="L7" i="12"/>
  <c r="R7" i="12" s="1"/>
  <c r="L9" i="12"/>
  <c r="R9" i="12" s="1"/>
  <c r="L11" i="12"/>
  <c r="R11" i="12" s="1"/>
  <c r="K13" i="12"/>
  <c r="Q13" i="12" s="1"/>
  <c r="L13" i="12"/>
  <c r="R13" i="12" s="1"/>
  <c r="L14" i="12"/>
  <c r="R14" i="12" s="1"/>
  <c r="K21" i="12"/>
  <c r="Q21" i="12" s="1"/>
  <c r="L21" i="12"/>
  <c r="R21" i="12" s="1"/>
  <c r="L22" i="12"/>
  <c r="R22" i="12" s="1"/>
  <c r="K26" i="12"/>
  <c r="Q26" i="12" s="1"/>
  <c r="L26" i="12"/>
  <c r="R26" i="12" s="1"/>
  <c r="Q33" i="12"/>
  <c r="E20" i="1"/>
  <c r="G20" i="1"/>
  <c r="H20" i="1" s="1"/>
  <c r="G15" i="1"/>
  <c r="H15" i="1" s="1"/>
  <c r="E15" i="1"/>
  <c r="E4" i="1"/>
  <c r="G4" i="1"/>
  <c r="H4" i="1" s="1"/>
  <c r="E24" i="1"/>
  <c r="G24" i="1"/>
  <c r="H24" i="1" s="1"/>
  <c r="G19" i="1"/>
  <c r="H19" i="1" s="1"/>
  <c r="E19" i="1"/>
  <c r="E8" i="1"/>
  <c r="G8" i="1"/>
  <c r="H8" i="1" s="1"/>
  <c r="F28" i="1"/>
  <c r="G3" i="1"/>
  <c r="E3" i="1"/>
  <c r="G23" i="1"/>
  <c r="H23" i="1" s="1"/>
  <c r="E23" i="1"/>
  <c r="E12" i="1"/>
  <c r="G12" i="1"/>
  <c r="H12" i="1" s="1"/>
  <c r="G7" i="1"/>
  <c r="H7" i="1" s="1"/>
  <c r="E7" i="1"/>
  <c r="G27" i="1"/>
  <c r="H27" i="1" s="1"/>
  <c r="E27" i="1"/>
  <c r="E16" i="1"/>
  <c r="G16" i="1"/>
  <c r="H16" i="1" s="1"/>
  <c r="G11" i="1"/>
  <c r="H11" i="1" s="1"/>
  <c r="E11" i="1"/>
  <c r="E26" i="1"/>
  <c r="E22" i="1"/>
  <c r="E18" i="1"/>
  <c r="E14" i="1"/>
  <c r="E10" i="1"/>
  <c r="E6" i="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2" i="10"/>
  <c r="Y7" i="12" l="1"/>
  <c r="U7" i="12"/>
  <c r="X7" i="12" s="1"/>
  <c r="Y3" i="12"/>
  <c r="U3" i="12"/>
  <c r="X3" i="12" s="1"/>
  <c r="O3" i="12"/>
  <c r="U15" i="12"/>
  <c r="X15" i="12" s="1"/>
  <c r="Y15" i="12"/>
  <c r="U6" i="12"/>
  <c r="X6" i="12" s="1"/>
  <c r="Y4" i="12"/>
  <c r="I3" i="12"/>
  <c r="Y19" i="12"/>
  <c r="U19" i="12"/>
  <c r="X19" i="12" s="1"/>
  <c r="N12" i="12"/>
  <c r="O12" i="12" s="1"/>
  <c r="U8" i="12"/>
  <c r="X8" i="12" s="1"/>
  <c r="V27" i="12"/>
  <c r="U11" i="12"/>
  <c r="X11" i="12" s="1"/>
  <c r="Y11" i="12"/>
  <c r="V20" i="12"/>
  <c r="U10" i="12"/>
  <c r="X10" i="12" s="1"/>
  <c r="U4" i="12"/>
  <c r="X4" i="12" s="1"/>
  <c r="U9" i="12"/>
  <c r="X9" i="12" s="1"/>
  <c r="U25" i="12"/>
  <c r="X25" i="12" s="1"/>
  <c r="V24" i="12"/>
  <c r="I13" i="12"/>
  <c r="N13" i="12"/>
  <c r="O13" i="12" s="1"/>
  <c r="N28" i="12"/>
  <c r="O28" i="12" s="1"/>
  <c r="V17" i="12"/>
  <c r="J28" i="12"/>
  <c r="P28" i="12" s="1"/>
  <c r="V16" i="12"/>
  <c r="V23" i="12"/>
  <c r="V21" i="12"/>
  <c r="V26" i="12"/>
  <c r="V18" i="12"/>
  <c r="V22" i="12"/>
  <c r="V14" i="12"/>
  <c r="G28" i="1"/>
  <c r="H3" i="1"/>
  <c r="E28" i="1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88" i="4"/>
  <c r="Y18" i="12" l="1"/>
  <c r="U18" i="12"/>
  <c r="X18" i="12" s="1"/>
  <c r="U23" i="12"/>
  <c r="X23" i="12" s="1"/>
  <c r="Y23" i="12"/>
  <c r="Y20" i="12"/>
  <c r="U20" i="12"/>
  <c r="X20" i="12" s="1"/>
  <c r="Y16" i="12"/>
  <c r="U16" i="12"/>
  <c r="X16" i="12" s="1"/>
  <c r="V12" i="12"/>
  <c r="Y14" i="12"/>
  <c r="U14" i="12"/>
  <c r="X14" i="12" s="1"/>
  <c r="Y26" i="12"/>
  <c r="U26" i="12"/>
  <c r="X26" i="12" s="1"/>
  <c r="Y22" i="12"/>
  <c r="U22" i="12"/>
  <c r="X22" i="12" s="1"/>
  <c r="Y21" i="12"/>
  <c r="U21" i="12"/>
  <c r="X21" i="12" s="1"/>
  <c r="Y17" i="12"/>
  <c r="U17" i="12"/>
  <c r="X17" i="12" s="1"/>
  <c r="Y24" i="12"/>
  <c r="U24" i="12"/>
  <c r="X24" i="12" s="1"/>
  <c r="Y27" i="12"/>
  <c r="U27" i="12"/>
  <c r="X27" i="12" s="1"/>
  <c r="V13" i="12"/>
  <c r="F10" i="5"/>
  <c r="Y12" i="12" l="1"/>
  <c r="U12" i="12"/>
  <c r="V28" i="12"/>
  <c r="Y13" i="12"/>
  <c r="U13" i="12"/>
  <c r="X13" i="12" s="1"/>
  <c r="M28" i="12"/>
  <c r="G28" i="12"/>
  <c r="T28" i="12"/>
  <c r="M4" i="1"/>
  <c r="N4" i="1" s="1"/>
  <c r="T4" i="1" s="1"/>
  <c r="Z4" i="1" s="1"/>
  <c r="M5" i="1"/>
  <c r="N5" i="1" s="1"/>
  <c r="T5" i="1" s="1"/>
  <c r="Z5" i="1" s="1"/>
  <c r="M6" i="1"/>
  <c r="N6" i="1" s="1"/>
  <c r="T6" i="1" s="1"/>
  <c r="Z6" i="1" s="1"/>
  <c r="M7" i="1"/>
  <c r="N7" i="1" s="1"/>
  <c r="T7" i="1" s="1"/>
  <c r="Z7" i="1" s="1"/>
  <c r="M8" i="1"/>
  <c r="N8" i="1" s="1"/>
  <c r="T8" i="1" s="1"/>
  <c r="Z8" i="1" s="1"/>
  <c r="M9" i="1"/>
  <c r="N9" i="1" s="1"/>
  <c r="T9" i="1" s="1"/>
  <c r="Z9" i="1" s="1"/>
  <c r="M10" i="1"/>
  <c r="N10" i="1" s="1"/>
  <c r="T10" i="1" s="1"/>
  <c r="Z10" i="1" s="1"/>
  <c r="M11" i="1"/>
  <c r="N11" i="1" s="1"/>
  <c r="T11" i="1" s="1"/>
  <c r="Z11" i="1" s="1"/>
  <c r="M12" i="1"/>
  <c r="N12" i="1" s="1"/>
  <c r="T12" i="1" s="1"/>
  <c r="Z12" i="1" s="1"/>
  <c r="M13" i="1"/>
  <c r="N13" i="1" s="1"/>
  <c r="T13" i="1" s="1"/>
  <c r="Z13" i="1" s="1"/>
  <c r="M14" i="1"/>
  <c r="N14" i="1" s="1"/>
  <c r="T14" i="1" s="1"/>
  <c r="Z14" i="1" s="1"/>
  <c r="M15" i="1"/>
  <c r="N15" i="1" s="1"/>
  <c r="T15" i="1" s="1"/>
  <c r="Z15" i="1" s="1"/>
  <c r="M16" i="1"/>
  <c r="N16" i="1" s="1"/>
  <c r="T16" i="1" s="1"/>
  <c r="Z16" i="1" s="1"/>
  <c r="M17" i="1"/>
  <c r="N17" i="1" s="1"/>
  <c r="T17" i="1" s="1"/>
  <c r="Z17" i="1" s="1"/>
  <c r="M18" i="1"/>
  <c r="N18" i="1" s="1"/>
  <c r="T18" i="1" s="1"/>
  <c r="Z18" i="1" s="1"/>
  <c r="M19" i="1"/>
  <c r="N19" i="1" s="1"/>
  <c r="T19" i="1" s="1"/>
  <c r="Z19" i="1" s="1"/>
  <c r="M20" i="1"/>
  <c r="N20" i="1" s="1"/>
  <c r="T20" i="1" s="1"/>
  <c r="Z20" i="1" s="1"/>
  <c r="M21" i="1"/>
  <c r="N21" i="1" s="1"/>
  <c r="T21" i="1" s="1"/>
  <c r="Z21" i="1" s="1"/>
  <c r="M22" i="1"/>
  <c r="N22" i="1" s="1"/>
  <c r="T22" i="1" s="1"/>
  <c r="Z22" i="1" s="1"/>
  <c r="M23" i="1"/>
  <c r="N23" i="1" s="1"/>
  <c r="T23" i="1" s="1"/>
  <c r="Z23" i="1" s="1"/>
  <c r="M24" i="1"/>
  <c r="N24" i="1" s="1"/>
  <c r="T24" i="1" s="1"/>
  <c r="Z24" i="1" s="1"/>
  <c r="M25" i="1"/>
  <c r="N25" i="1" s="1"/>
  <c r="T25" i="1" s="1"/>
  <c r="Z25" i="1" s="1"/>
  <c r="M26" i="1"/>
  <c r="N26" i="1" s="1"/>
  <c r="T26" i="1" s="1"/>
  <c r="Z26" i="1" s="1"/>
  <c r="M27" i="1"/>
  <c r="N27" i="1" s="1"/>
  <c r="T27" i="1" s="1"/>
  <c r="Z27" i="1" s="1"/>
  <c r="M3" i="1"/>
  <c r="N3" i="1" s="1"/>
  <c r="T3" i="1" s="1"/>
  <c r="Z3" i="1" s="1"/>
  <c r="L5" i="1"/>
  <c r="L6" i="1"/>
  <c r="L7" i="1"/>
  <c r="L8" i="1"/>
  <c r="L9" i="1"/>
  <c r="L10" i="1"/>
  <c r="L11" i="1"/>
  <c r="L12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4" i="1"/>
  <c r="X12" i="12" l="1"/>
  <c r="U28" i="12"/>
  <c r="B12" i="5"/>
  <c r="S37" i="1"/>
  <c r="S38" i="1" s="1"/>
  <c r="B21" i="1" s="1"/>
  <c r="S4" i="1"/>
  <c r="Y4" i="1" s="1"/>
  <c r="S5" i="1"/>
  <c r="Y5" i="1" s="1"/>
  <c r="S6" i="1"/>
  <c r="Y6" i="1" s="1"/>
  <c r="S7" i="1"/>
  <c r="Y7" i="1" s="1"/>
  <c r="S8" i="1"/>
  <c r="Y8" i="1" s="1"/>
  <c r="S9" i="1"/>
  <c r="Y9" i="1" s="1"/>
  <c r="S10" i="1"/>
  <c r="Y10" i="1" s="1"/>
  <c r="S11" i="1"/>
  <c r="Y11" i="1" s="1"/>
  <c r="S12" i="1"/>
  <c r="Y12" i="1" s="1"/>
  <c r="S13" i="1"/>
  <c r="Y13" i="1" s="1"/>
  <c r="S14" i="1"/>
  <c r="Y14" i="1" s="1"/>
  <c r="S15" i="1"/>
  <c r="Y15" i="1" s="1"/>
  <c r="S17" i="1"/>
  <c r="Y17" i="1" s="1"/>
  <c r="S18" i="1"/>
  <c r="Y18" i="1" s="1"/>
  <c r="S19" i="1"/>
  <c r="Y19" i="1" s="1"/>
  <c r="S20" i="1"/>
  <c r="Y20" i="1" s="1"/>
  <c r="S21" i="1"/>
  <c r="Y21" i="1" s="1"/>
  <c r="S22" i="1"/>
  <c r="Y22" i="1" s="1"/>
  <c r="S24" i="1"/>
  <c r="Y24" i="1" s="1"/>
  <c r="S26" i="1"/>
  <c r="Y26" i="1" s="1"/>
  <c r="S27" i="1"/>
  <c r="Y27" i="1" s="1"/>
  <c r="S3" i="1"/>
  <c r="Y3" i="1" s="1"/>
  <c r="S16" i="1"/>
  <c r="Y16" i="1" s="1"/>
  <c r="S23" i="1"/>
  <c r="Y23" i="1" s="1"/>
  <c r="S25" i="1"/>
  <c r="Y25" i="1" s="1"/>
  <c r="Y40" i="1"/>
  <c r="W39" i="1"/>
  <c r="W40" i="1" s="1"/>
  <c r="Y37" i="1"/>
  <c r="Y38" i="1" s="1"/>
  <c r="R3" i="1"/>
  <c r="X3" i="1" s="1"/>
  <c r="AC3" i="1" s="1"/>
  <c r="P4" i="1"/>
  <c r="P5" i="1"/>
  <c r="V5" i="1" s="1"/>
  <c r="W5" i="1" s="1"/>
  <c r="P6" i="1"/>
  <c r="V6" i="1" s="1"/>
  <c r="W6" i="1" s="1"/>
  <c r="P7" i="1"/>
  <c r="V7" i="1" s="1"/>
  <c r="W7" i="1" s="1"/>
  <c r="P8" i="1"/>
  <c r="V8" i="1" s="1"/>
  <c r="W8" i="1" s="1"/>
  <c r="P9" i="1"/>
  <c r="Q9" i="1" s="1"/>
  <c r="P10" i="1"/>
  <c r="V10" i="1" s="1"/>
  <c r="W10" i="1" s="1"/>
  <c r="P11" i="1"/>
  <c r="V11" i="1" s="1"/>
  <c r="W11" i="1" s="1"/>
  <c r="P12" i="1"/>
  <c r="P14" i="1"/>
  <c r="V14" i="1" s="1"/>
  <c r="W14" i="1" s="1"/>
  <c r="P15" i="1"/>
  <c r="Q15" i="1" s="1"/>
  <c r="P16" i="1"/>
  <c r="V16" i="1" s="1"/>
  <c r="W16" i="1" s="1"/>
  <c r="P17" i="1"/>
  <c r="V17" i="1" s="1"/>
  <c r="W17" i="1" s="1"/>
  <c r="P18" i="1"/>
  <c r="V18" i="1" s="1"/>
  <c r="W18" i="1" s="1"/>
  <c r="P19" i="1"/>
  <c r="Q19" i="1" s="1"/>
  <c r="P20" i="1"/>
  <c r="V20" i="1" s="1"/>
  <c r="W20" i="1" s="1"/>
  <c r="P21" i="1"/>
  <c r="V21" i="1" s="1"/>
  <c r="W21" i="1" s="1"/>
  <c r="P22" i="1"/>
  <c r="V22" i="1" s="1"/>
  <c r="W22" i="1" s="1"/>
  <c r="P23" i="1"/>
  <c r="Q23" i="1" s="1"/>
  <c r="P24" i="1"/>
  <c r="V24" i="1" s="1"/>
  <c r="W24" i="1" s="1"/>
  <c r="P25" i="1"/>
  <c r="V25" i="1" s="1"/>
  <c r="W25" i="1" s="1"/>
  <c r="P26" i="1"/>
  <c r="V26" i="1" s="1"/>
  <c r="W26" i="1" s="1"/>
  <c r="P27" i="1"/>
  <c r="Q27" i="1" s="1"/>
  <c r="P3" i="1"/>
  <c r="Q39" i="1"/>
  <c r="Q40" i="1" s="1"/>
  <c r="S40" i="1"/>
  <c r="B4" i="1" s="1"/>
  <c r="K26" i="1"/>
  <c r="K27" i="1"/>
  <c r="K25" i="1"/>
  <c r="K24" i="1"/>
  <c r="K22" i="1"/>
  <c r="K21" i="1"/>
  <c r="K20" i="1"/>
  <c r="K19" i="1"/>
  <c r="K18" i="1"/>
  <c r="K17" i="1"/>
  <c r="K16" i="1"/>
  <c r="K15" i="1"/>
  <c r="K14" i="1"/>
  <c r="K12" i="1"/>
  <c r="K11" i="1"/>
  <c r="K10" i="1"/>
  <c r="K9" i="1"/>
  <c r="K8" i="1"/>
  <c r="K7" i="1"/>
  <c r="K6" i="1"/>
  <c r="K5" i="1"/>
  <c r="K4" i="1"/>
  <c r="K3" i="1"/>
  <c r="K23" i="1"/>
  <c r="AH90" i="4"/>
  <c r="AH91" i="4"/>
  <c r="AH92" i="4"/>
  <c r="AH93" i="4"/>
  <c r="AH94" i="4"/>
  <c r="AH95" i="4"/>
  <c r="AH96" i="4"/>
  <c r="AH97" i="4"/>
  <c r="AH98" i="4"/>
  <c r="AG90" i="4"/>
  <c r="AG91" i="4"/>
  <c r="AG92" i="4"/>
  <c r="AG93" i="4"/>
  <c r="AG94" i="4"/>
  <c r="AG95" i="4"/>
  <c r="AG96" i="4"/>
  <c r="AG97" i="4"/>
  <c r="AG98" i="4"/>
  <c r="AG88" i="4"/>
  <c r="AH88" i="4" s="1"/>
  <c r="AF89" i="4"/>
  <c r="AF90" i="4"/>
  <c r="AF91" i="4"/>
  <c r="AF92" i="4"/>
  <c r="AF93" i="4"/>
  <c r="AF94" i="4"/>
  <c r="AF95" i="4"/>
  <c r="AF96" i="4"/>
  <c r="AF97" i="4"/>
  <c r="AF98" i="4"/>
  <c r="AF88" i="4"/>
  <c r="AE89" i="4"/>
  <c r="AG89" i="4" s="1"/>
  <c r="AH89" i="4" s="1"/>
  <c r="AE90" i="4"/>
  <c r="AE91" i="4"/>
  <c r="AE92" i="4"/>
  <c r="AE93" i="4"/>
  <c r="AE94" i="4"/>
  <c r="AE95" i="4"/>
  <c r="AE96" i="4"/>
  <c r="AE97" i="4"/>
  <c r="AE98" i="4"/>
  <c r="AE88" i="4"/>
  <c r="AD89" i="4"/>
  <c r="AD90" i="4"/>
  <c r="AD91" i="4"/>
  <c r="AD92" i="4"/>
  <c r="AD93" i="4"/>
  <c r="AD94" i="4"/>
  <c r="AD95" i="4"/>
  <c r="AD96" i="4"/>
  <c r="AD97" i="4"/>
  <c r="AD98" i="4"/>
  <c r="AD88" i="4"/>
  <c r="J261" i="4"/>
  <c r="J262" i="4" s="1"/>
  <c r="J263" i="4" s="1"/>
  <c r="J264" i="4" s="1"/>
  <c r="I261" i="4"/>
  <c r="I262" i="4" s="1"/>
  <c r="I263" i="4" s="1"/>
  <c r="I264" i="4" s="1"/>
  <c r="H261" i="4"/>
  <c r="H262" i="4" s="1"/>
  <c r="H263" i="4" s="1"/>
  <c r="H264" i="4" s="1"/>
  <c r="G261" i="4"/>
  <c r="G262" i="4" s="1"/>
  <c r="J222" i="4"/>
  <c r="I222" i="4"/>
  <c r="H222" i="4"/>
  <c r="G222" i="4"/>
  <c r="J117" i="4"/>
  <c r="I117" i="4"/>
  <c r="H117" i="4"/>
  <c r="J12" i="4"/>
  <c r="J388" i="4" s="1"/>
  <c r="I12" i="4"/>
  <c r="H12" i="4"/>
  <c r="H388" i="4" s="1"/>
  <c r="R6" i="1"/>
  <c r="X6" i="1" s="1"/>
  <c r="R10" i="1"/>
  <c r="X10" i="1" s="1"/>
  <c r="R14" i="1"/>
  <c r="X14" i="1" s="1"/>
  <c r="R18" i="1"/>
  <c r="X18" i="1" s="1"/>
  <c r="R22" i="1"/>
  <c r="X22" i="1" s="1"/>
  <c r="K32" i="1"/>
  <c r="L13" i="1"/>
  <c r="Q21" i="1" l="1"/>
  <c r="Q25" i="1"/>
  <c r="Q17" i="1"/>
  <c r="Q8" i="1"/>
  <c r="AD24" i="1"/>
  <c r="V9" i="1"/>
  <c r="W9" i="1" s="1"/>
  <c r="Q18" i="1"/>
  <c r="Q26" i="1"/>
  <c r="Q14" i="1"/>
  <c r="Q22" i="1"/>
  <c r="B27" i="1"/>
  <c r="AD11" i="1"/>
  <c r="AD7" i="1"/>
  <c r="AD16" i="1"/>
  <c r="AD20" i="1"/>
  <c r="AD8" i="1"/>
  <c r="AD22" i="1"/>
  <c r="AG22" i="1" s="1"/>
  <c r="AD26" i="1"/>
  <c r="AD18" i="1"/>
  <c r="AG18" i="1" s="1"/>
  <c r="AD14" i="1"/>
  <c r="AG14" i="1" s="1"/>
  <c r="AD10" i="1"/>
  <c r="AG10" i="1" s="1"/>
  <c r="AD6" i="1"/>
  <c r="AG6" i="1" s="1"/>
  <c r="AD25" i="1"/>
  <c r="AD21" i="1"/>
  <c r="AD17" i="1"/>
  <c r="AD5" i="1"/>
  <c r="Q3" i="1"/>
  <c r="V3" i="1"/>
  <c r="AD3" i="1" s="1"/>
  <c r="AB3" i="1" s="1"/>
  <c r="Q24" i="1"/>
  <c r="Q20" i="1"/>
  <c r="K13" i="1"/>
  <c r="P13" i="1"/>
  <c r="V13" i="1" s="1"/>
  <c r="W13" i="1" s="1"/>
  <c r="Q16" i="1"/>
  <c r="V12" i="1"/>
  <c r="W12" i="1" s="1"/>
  <c r="Q12" i="1"/>
  <c r="Q4" i="1"/>
  <c r="V4" i="1"/>
  <c r="W4" i="1" s="1"/>
  <c r="V27" i="1"/>
  <c r="W27" i="1" s="1"/>
  <c r="V23" i="1"/>
  <c r="W23" i="1" s="1"/>
  <c r="V19" i="1"/>
  <c r="W19" i="1" s="1"/>
  <c r="V15" i="1"/>
  <c r="W15" i="1" s="1"/>
  <c r="R25" i="1"/>
  <c r="X25" i="1" s="1"/>
  <c r="R21" i="1"/>
  <c r="X21" i="1" s="1"/>
  <c r="AC21" i="1" s="1"/>
  <c r="R17" i="1"/>
  <c r="X17" i="1" s="1"/>
  <c r="R9" i="1"/>
  <c r="X9" i="1" s="1"/>
  <c r="R5" i="1"/>
  <c r="X5" i="1" s="1"/>
  <c r="R26" i="1"/>
  <c r="X26" i="1" s="1"/>
  <c r="R24" i="1"/>
  <c r="X24" i="1" s="1"/>
  <c r="R20" i="1"/>
  <c r="X20" i="1" s="1"/>
  <c r="R16" i="1"/>
  <c r="X16" i="1" s="1"/>
  <c r="R12" i="1"/>
  <c r="X12" i="1" s="1"/>
  <c r="AC12" i="1" s="1"/>
  <c r="R8" i="1"/>
  <c r="X8" i="1" s="1"/>
  <c r="AG8" i="1" s="1"/>
  <c r="R4" i="1"/>
  <c r="X4" i="1" s="1"/>
  <c r="AC4" i="1" s="1"/>
  <c r="R27" i="1"/>
  <c r="X27" i="1" s="1"/>
  <c r="R23" i="1"/>
  <c r="X23" i="1" s="1"/>
  <c r="R19" i="1"/>
  <c r="X19" i="1" s="1"/>
  <c r="R15" i="1"/>
  <c r="X15" i="1" s="1"/>
  <c r="R11" i="1"/>
  <c r="X11" i="1" s="1"/>
  <c r="R7" i="1"/>
  <c r="X7" i="1" s="1"/>
  <c r="Q7" i="1"/>
  <c r="Q11" i="1"/>
  <c r="Q6" i="1"/>
  <c r="Q10" i="1"/>
  <c r="Q5" i="1"/>
  <c r="J28" i="1"/>
  <c r="B17" i="1"/>
  <c r="B14" i="1"/>
  <c r="AC14" i="1" s="1"/>
  <c r="B18" i="1"/>
  <c r="AC18" i="1" s="1"/>
  <c r="B22" i="1"/>
  <c r="AC22" i="1" s="1"/>
  <c r="B26" i="1"/>
  <c r="B15" i="1"/>
  <c r="B19" i="1"/>
  <c r="B23" i="1"/>
  <c r="B13" i="1"/>
  <c r="B16" i="1"/>
  <c r="B20" i="1"/>
  <c r="B24" i="1"/>
  <c r="B5" i="1"/>
  <c r="B9" i="1"/>
  <c r="B6" i="1"/>
  <c r="AC6" i="1" s="1"/>
  <c r="B10" i="1"/>
  <c r="AC10" i="1" s="1"/>
  <c r="B7" i="1"/>
  <c r="B11" i="1"/>
  <c r="B25" i="1"/>
  <c r="B8" i="1"/>
  <c r="I388" i="4"/>
  <c r="G263" i="4"/>
  <c r="G264" i="4" s="1"/>
  <c r="G388" i="4"/>
  <c r="AB21" i="1" l="1"/>
  <c r="U21" i="1" s="1"/>
  <c r="O21" i="1" s="1"/>
  <c r="AG5" i="1"/>
  <c r="AB18" i="1"/>
  <c r="U18" i="1" s="1"/>
  <c r="O18" i="1" s="1"/>
  <c r="U3" i="1"/>
  <c r="O3" i="1" s="1"/>
  <c r="AB6" i="1"/>
  <c r="U6" i="1" s="1"/>
  <c r="O6" i="1" s="1"/>
  <c r="AG7" i="1"/>
  <c r="AC11" i="1"/>
  <c r="AB11" i="1" s="1"/>
  <c r="U11" i="1" s="1"/>
  <c r="O11" i="1" s="1"/>
  <c r="W3" i="1"/>
  <c r="AC9" i="1"/>
  <c r="AD13" i="1"/>
  <c r="AG26" i="1"/>
  <c r="AG16" i="1"/>
  <c r="AC16" i="1"/>
  <c r="AB16" i="1" s="1"/>
  <c r="U16" i="1" s="1"/>
  <c r="O16" i="1" s="1"/>
  <c r="AB10" i="1"/>
  <c r="U10" i="1" s="1"/>
  <c r="O10" i="1" s="1"/>
  <c r="AB22" i="1"/>
  <c r="U22" i="1" s="1"/>
  <c r="O22" i="1" s="1"/>
  <c r="AC15" i="1"/>
  <c r="AC20" i="1"/>
  <c r="AB20" i="1" s="1"/>
  <c r="U20" i="1" s="1"/>
  <c r="O20" i="1" s="1"/>
  <c r="AC25" i="1"/>
  <c r="AB25" i="1" s="1"/>
  <c r="U25" i="1" s="1"/>
  <c r="O25" i="1" s="1"/>
  <c r="AD9" i="1"/>
  <c r="AG9" i="1" s="1"/>
  <c r="AG20" i="1"/>
  <c r="AD19" i="1"/>
  <c r="AG19" i="1" s="1"/>
  <c r="Y33" i="1"/>
  <c r="AC27" i="1"/>
  <c r="AG21" i="1"/>
  <c r="AD23" i="1"/>
  <c r="AG23" i="1" s="1"/>
  <c r="AC5" i="1"/>
  <c r="AB5" i="1" s="1"/>
  <c r="U5" i="1" s="1"/>
  <c r="O5" i="1" s="1"/>
  <c r="AG25" i="1"/>
  <c r="AB14" i="1"/>
  <c r="U14" i="1" s="1"/>
  <c r="O14" i="1" s="1"/>
  <c r="AC19" i="1"/>
  <c r="AB19" i="1" s="1"/>
  <c r="U19" i="1" s="1"/>
  <c r="O19" i="1" s="1"/>
  <c r="AC8" i="1"/>
  <c r="AB8" i="1" s="1"/>
  <c r="U8" i="1" s="1"/>
  <c r="O8" i="1" s="1"/>
  <c r="AC24" i="1"/>
  <c r="AB24" i="1" s="1"/>
  <c r="U24" i="1" s="1"/>
  <c r="O24" i="1" s="1"/>
  <c r="AG24" i="1"/>
  <c r="AD4" i="1"/>
  <c r="AG4" i="1" s="1"/>
  <c r="AD27" i="1"/>
  <c r="AG27" i="1" s="1"/>
  <c r="AD15" i="1"/>
  <c r="AG15" i="1" s="1"/>
  <c r="AD12" i="1"/>
  <c r="AG12" i="1" s="1"/>
  <c r="AC7" i="1"/>
  <c r="AB7" i="1" s="1"/>
  <c r="U7" i="1" s="1"/>
  <c r="O7" i="1" s="1"/>
  <c r="AC23" i="1"/>
  <c r="AC26" i="1"/>
  <c r="AB26" i="1" s="1"/>
  <c r="U26" i="1" s="1"/>
  <c r="O26" i="1" s="1"/>
  <c r="AC17" i="1"/>
  <c r="AB17" i="1" s="1"/>
  <c r="U17" i="1" s="1"/>
  <c r="O17" i="1" s="1"/>
  <c r="AG17" i="1"/>
  <c r="AG11" i="1"/>
  <c r="AG3" i="1"/>
  <c r="Q13" i="1"/>
  <c r="V28" i="1"/>
  <c r="W28" i="1" s="1"/>
  <c r="P28" i="1"/>
  <c r="Q28" i="1" s="1"/>
  <c r="L28" i="1"/>
  <c r="R13" i="1"/>
  <c r="X13" i="1" s="1"/>
  <c r="AC13" i="1" s="1"/>
  <c r="K28" i="1"/>
  <c r="J31" i="1"/>
  <c r="AB13" i="1" l="1"/>
  <c r="U13" i="1" s="1"/>
  <c r="O13" i="1" s="1"/>
  <c r="AB27" i="1"/>
  <c r="U27" i="1" s="1"/>
  <c r="O27" i="1" s="1"/>
  <c r="AC28" i="1"/>
  <c r="AB9" i="1"/>
  <c r="U9" i="1" s="1"/>
  <c r="O9" i="1" s="1"/>
  <c r="AD28" i="1"/>
  <c r="AG13" i="1"/>
  <c r="AB12" i="1"/>
  <c r="U12" i="1" s="1"/>
  <c r="O12" i="1" s="1"/>
  <c r="AB4" i="1"/>
  <c r="AB23" i="1"/>
  <c r="U23" i="1" s="1"/>
  <c r="O23" i="1" s="1"/>
  <c r="AB15" i="1"/>
  <c r="U15" i="1" s="1"/>
  <c r="O15" i="1" s="1"/>
  <c r="R28" i="1"/>
  <c r="X28" i="1" s="1"/>
  <c r="U4" i="1" l="1"/>
  <c r="O4" i="1" s="1"/>
  <c r="AB28" i="1"/>
  <c r="O28" i="1" l="1"/>
  <c r="U28" i="1"/>
  <c r="S27" i="12" l="1"/>
  <c r="W27" i="12" s="1"/>
  <c r="S3" i="12" l="1"/>
  <c r="W3" i="12" s="1"/>
  <c r="AE3" i="1"/>
  <c r="AA4" i="1"/>
  <c r="S4" i="12" s="1"/>
  <c r="W4" i="12" s="1"/>
  <c r="AA5" i="1" l="1"/>
  <c r="S5" i="12" l="1"/>
  <c r="W5" i="12" s="1"/>
  <c r="AA6" i="1"/>
  <c r="S6" i="12" l="1"/>
  <c r="W6" i="12" s="1"/>
  <c r="AA7" i="1"/>
  <c r="S7" i="12" l="1"/>
  <c r="W7" i="12" s="1"/>
  <c r="AA8" i="1"/>
  <c r="AA9" i="1" l="1"/>
  <c r="S8" i="12"/>
  <c r="W8" i="12" s="1"/>
  <c r="S9" i="12" l="1"/>
  <c r="W9" i="12" s="1"/>
  <c r="AA10" i="1"/>
  <c r="S10" i="12" l="1"/>
  <c r="W10" i="12" s="1"/>
  <c r="AA11" i="1"/>
  <c r="S11" i="12" l="1"/>
  <c r="W11" i="12" s="1"/>
  <c r="AA12" i="1"/>
  <c r="AA13" i="1" l="1"/>
  <c r="S12" i="12"/>
  <c r="W12" i="12" s="1"/>
  <c r="AA14" i="1" l="1"/>
  <c r="S13" i="12"/>
  <c r="W13" i="12" s="1"/>
  <c r="S14" i="12" l="1"/>
  <c r="W14" i="12" s="1"/>
  <c r="AA15" i="1"/>
  <c r="S15" i="12" l="1"/>
  <c r="W15" i="12" s="1"/>
  <c r="AA16" i="1"/>
  <c r="AA17" i="1" l="1"/>
  <c r="S16" i="12"/>
  <c r="W16" i="12" s="1"/>
  <c r="S17" i="12" l="1"/>
  <c r="W17" i="12" s="1"/>
  <c r="AA18" i="1"/>
  <c r="S18" i="12" l="1"/>
  <c r="W18" i="12" s="1"/>
  <c r="AA19" i="1"/>
  <c r="S19" i="12" l="1"/>
  <c r="W19" i="12" s="1"/>
  <c r="AA20" i="1"/>
  <c r="S20" i="12" l="1"/>
  <c r="W20" i="12" s="1"/>
  <c r="AA21" i="1"/>
  <c r="AA22" i="1" l="1"/>
  <c r="S21" i="12"/>
  <c r="W21" i="12" s="1"/>
  <c r="AA23" i="1" l="1"/>
  <c r="S22" i="12"/>
  <c r="W22" i="12" s="1"/>
  <c r="S23" i="12" l="1"/>
  <c r="W23" i="12" s="1"/>
  <c r="AA24" i="1"/>
  <c r="S24" i="12" l="1"/>
  <c r="W24" i="12" s="1"/>
  <c r="AA25" i="1"/>
  <c r="S25" i="12" l="1"/>
  <c r="W25" i="12" s="1"/>
  <c r="AA26" i="1"/>
  <c r="S26" i="12" s="1"/>
  <c r="W26" i="12" s="1"/>
</calcChain>
</file>

<file path=xl/sharedStrings.xml><?xml version="1.0" encoding="utf-8"?>
<sst xmlns="http://schemas.openxmlformats.org/spreadsheetml/2006/main" count="1656" uniqueCount="722">
  <si>
    <t>minutes</t>
    <phoneticPr fontId="2" type="noConversion"/>
  </si>
  <si>
    <t>level</t>
    <phoneticPr fontId="2" type="noConversion"/>
  </si>
  <si>
    <t>hours</t>
    <phoneticPr fontId="2" type="noConversion"/>
  </si>
  <si>
    <t>sum</t>
    <phoneticPr fontId="2" type="noConversion"/>
  </si>
  <si>
    <t>名称</t>
  </si>
  <si>
    <t>可造最大个数</t>
  </si>
  <si>
    <t>是否是默认建筑</t>
  </si>
  <si>
    <t>优先级</t>
  </si>
  <si>
    <t>大本营（HQ）</t>
  </si>
  <si>
    <t>Y</t>
  </si>
  <si>
    <t>N</t>
  </si>
  <si>
    <t>仓库(storage)</t>
  </si>
  <si>
    <t>城墙(wall)</t>
  </si>
  <si>
    <t>岗哨(sentry)</t>
  </si>
  <si>
    <t>维修站(repair center)</t>
  </si>
  <si>
    <t>工厂(factory)</t>
  </si>
  <si>
    <t>工坊(workshop)</t>
  </si>
  <si>
    <t>科研中心(research center)</t>
  </si>
  <si>
    <t>集结旗(rally flag)</t>
  </si>
  <si>
    <t>营地(campsite)</t>
  </si>
  <si>
    <t>车队指挥所（squad  center）</t>
  </si>
  <si>
    <t>弹药库（Ammo depot）</t>
  </si>
  <si>
    <t>Construction Name and Level</t>
    <phoneticPr fontId="2" type="noConversion"/>
  </si>
  <si>
    <t>Construction Time</t>
    <phoneticPr fontId="2" type="noConversion"/>
  </si>
  <si>
    <t>Instant Build Cost (Gold)</t>
    <phoneticPr fontId="2" type="noConversion"/>
  </si>
  <si>
    <t>Construction Reward</t>
    <phoneticPr fontId="2" type="noConversion"/>
  </si>
  <si>
    <t>Construction Resource Cost</t>
    <phoneticPr fontId="2" type="noConversion"/>
  </si>
  <si>
    <t>Rewards of the Quest to build this Construction</t>
    <phoneticPr fontId="2" type="noConversion"/>
  </si>
  <si>
    <t>Prepositive Constructions</t>
    <phoneticPr fontId="2" type="noConversion"/>
  </si>
  <si>
    <t>Prepositive Researches</t>
    <phoneticPr fontId="2" type="noConversion"/>
  </si>
  <si>
    <t>Resource Output (Unit/Hour)</t>
    <phoneticPr fontId="2" type="noConversion"/>
  </si>
  <si>
    <t>Resource Capacity</t>
    <phoneticPr fontId="2" type="noConversion"/>
  </si>
  <si>
    <t>Building Completion Improvements</t>
    <phoneticPr fontId="2" type="noConversion"/>
  </si>
  <si>
    <t>Hero XP</t>
    <phoneticPr fontId="2" type="noConversion"/>
  </si>
  <si>
    <t>Power</t>
    <phoneticPr fontId="2" type="noConversion"/>
  </si>
  <si>
    <t>Stone</t>
    <phoneticPr fontId="2" type="noConversion"/>
  </si>
  <si>
    <t>Wood</t>
    <phoneticPr fontId="2" type="noConversion"/>
  </si>
  <si>
    <t>Ore</t>
    <phoneticPr fontId="2" type="noConversion"/>
  </si>
  <si>
    <t>Food</t>
    <phoneticPr fontId="2" type="noConversion"/>
  </si>
  <si>
    <t>Silver</t>
    <phoneticPr fontId="2" type="noConversion"/>
  </si>
  <si>
    <t>Improvement Type</t>
    <phoneticPr fontId="2" type="noConversion"/>
  </si>
  <si>
    <t>Amount</t>
    <phoneticPr fontId="2" type="noConversion"/>
  </si>
  <si>
    <t>Stronghold 1</t>
  </si>
  <si>
    <t>—</t>
    <phoneticPr fontId="2" type="noConversion"/>
  </si>
  <si>
    <t>March Size</t>
    <phoneticPr fontId="2" type="noConversion"/>
  </si>
  <si>
    <t>Alliance Help Time</t>
    <phoneticPr fontId="2" type="noConversion"/>
  </si>
  <si>
    <t>Unlock Academy</t>
    <phoneticPr fontId="2" type="noConversion"/>
  </si>
  <si>
    <t>Stronghold 2</t>
  </si>
  <si>
    <t>Walls 1</t>
  </si>
  <si>
    <t>March Size</t>
  </si>
  <si>
    <t>Stronghold 3</t>
    <phoneticPr fontId="2" type="noConversion"/>
  </si>
  <si>
    <t>Walls 2</t>
  </si>
  <si>
    <t>Stronghold 4</t>
    <phoneticPr fontId="2" type="noConversion"/>
  </si>
  <si>
    <t>Walls 3</t>
  </si>
  <si>
    <t>Stronghold 5</t>
  </si>
  <si>
    <t>Walls 4</t>
  </si>
  <si>
    <t>Unlock Marketplace</t>
    <phoneticPr fontId="2" type="noConversion"/>
  </si>
  <si>
    <t>Stronghold 6</t>
  </si>
  <si>
    <t>Walls 5</t>
  </si>
  <si>
    <t>Storehouse 5</t>
    <phoneticPr fontId="2" type="noConversion"/>
  </si>
  <si>
    <t>March Slots +</t>
    <phoneticPr fontId="2" type="noConversion"/>
  </si>
  <si>
    <t>Stronghold 7</t>
  </si>
  <si>
    <t>Walls 6</t>
    <phoneticPr fontId="2" type="noConversion"/>
  </si>
  <si>
    <t>Hospital 6</t>
    <phoneticPr fontId="2" type="noConversion"/>
  </si>
  <si>
    <t>Stronghold 8</t>
  </si>
  <si>
    <t>Walls 7</t>
  </si>
  <si>
    <t>Academy 7</t>
    <phoneticPr fontId="2" type="noConversion"/>
  </si>
  <si>
    <t>Stronghold 9</t>
  </si>
  <si>
    <t>Walls 8</t>
  </si>
  <si>
    <t>Marketplace 8</t>
    <phoneticPr fontId="2" type="noConversion"/>
  </si>
  <si>
    <t>Alliance Help Time</t>
    <phoneticPr fontId="2" type="noConversion"/>
  </si>
  <si>
    <t>Stronghold 10</t>
  </si>
  <si>
    <t>Walls 9</t>
  </si>
  <si>
    <t>Barracks 9</t>
    <phoneticPr fontId="2" type="noConversion"/>
  </si>
  <si>
    <t>Unlock Capturable</t>
    <phoneticPr fontId="2" type="noConversion"/>
  </si>
  <si>
    <t>Stronghold 11</t>
  </si>
  <si>
    <t>Walls 10</t>
  </si>
  <si>
    <t>Gymnos 10</t>
    <phoneticPr fontId="2" type="noConversion"/>
  </si>
  <si>
    <t>March Slots +</t>
    <phoneticPr fontId="2" type="noConversion"/>
  </si>
  <si>
    <t>Stronghold 12</t>
  </si>
  <si>
    <t>Walls 11</t>
  </si>
  <si>
    <t>Stronghold 13</t>
  </si>
  <si>
    <t>Walls 12</t>
  </si>
  <si>
    <t>Stronghold 14</t>
  </si>
  <si>
    <t>Walls 13</t>
  </si>
  <si>
    <t>Stronghold 15</t>
  </si>
  <si>
    <t>Walls 14</t>
  </si>
  <si>
    <t>Unlock Graveyard</t>
    <phoneticPr fontId="2" type="noConversion"/>
  </si>
  <si>
    <t>Stronghold 16</t>
  </si>
  <si>
    <t>Walls 15</t>
  </si>
  <si>
    <t>Stronghold 17</t>
  </si>
  <si>
    <t>Walls 16</t>
  </si>
  <si>
    <t>Stronghold 18</t>
  </si>
  <si>
    <t>Walls 17</t>
  </si>
  <si>
    <t>Stronghold 19</t>
  </si>
  <si>
    <t>Walls 18</t>
  </si>
  <si>
    <t>Stronghold 20</t>
  </si>
  <si>
    <t>Walls 19</t>
  </si>
  <si>
    <t>Stronghold 21</t>
  </si>
  <si>
    <t>Walls 20</t>
  </si>
  <si>
    <t>—</t>
    <phoneticPr fontId="2" type="noConversion"/>
  </si>
  <si>
    <t>Trap Capacity</t>
    <phoneticPr fontId="2" type="noConversion"/>
  </si>
  <si>
    <t>Trap Capacity</t>
  </si>
  <si>
    <t>Forge 4</t>
    <phoneticPr fontId="2" type="noConversion"/>
  </si>
  <si>
    <t>Forge 5</t>
  </si>
  <si>
    <t>Walls 6</t>
  </si>
  <si>
    <t>Forge 6</t>
  </si>
  <si>
    <t>Forge 7</t>
    <phoneticPr fontId="2" type="noConversion"/>
  </si>
  <si>
    <t>Forge 8</t>
    <phoneticPr fontId="2" type="noConversion"/>
  </si>
  <si>
    <t>Forge 9</t>
  </si>
  <si>
    <t>Forge 10</t>
  </si>
  <si>
    <t>Forge 11</t>
  </si>
  <si>
    <t>Forge 12</t>
  </si>
  <si>
    <t>Forge 13</t>
  </si>
  <si>
    <t>Forge 14</t>
  </si>
  <si>
    <t>Forge 15</t>
  </si>
  <si>
    <t>Forge 16</t>
  </si>
  <si>
    <t>Forge 17</t>
  </si>
  <si>
    <t>Forge 18</t>
  </si>
  <si>
    <t>Forge 19</t>
  </si>
  <si>
    <t>Forge 20</t>
  </si>
  <si>
    <t>Walls 21</t>
  </si>
  <si>
    <t>Forge 21</t>
  </si>
  <si>
    <t>Trap Attack</t>
    <phoneticPr fontId="2" type="noConversion"/>
  </si>
  <si>
    <t>Storehouse 1</t>
    <phoneticPr fontId="2" type="noConversion"/>
  </si>
  <si>
    <t>Stronghold 1</t>
    <phoneticPr fontId="2" type="noConversion"/>
  </si>
  <si>
    <t>Storage for Each Rss</t>
    <phoneticPr fontId="2" type="noConversion"/>
  </si>
  <si>
    <t>Storehouse 2</t>
    <phoneticPr fontId="2" type="noConversion"/>
  </si>
  <si>
    <t>Stronghold 2</t>
    <phoneticPr fontId="2" type="noConversion"/>
  </si>
  <si>
    <t>Storehouse 3</t>
    <phoneticPr fontId="2" type="noConversion"/>
  </si>
  <si>
    <t>Storehouse 4</t>
    <phoneticPr fontId="2" type="noConversion"/>
  </si>
  <si>
    <t>Storehouse 5</t>
  </si>
  <si>
    <t>Storehouse 6</t>
  </si>
  <si>
    <t>Storehouse 7</t>
  </si>
  <si>
    <t>Storehouse 8</t>
  </si>
  <si>
    <t>Stronghold 8</t>
    <phoneticPr fontId="2" type="noConversion"/>
  </si>
  <si>
    <t>Storehouse 9</t>
  </si>
  <si>
    <t>Storehouse 10</t>
  </si>
  <si>
    <t>Storehouse 11</t>
  </si>
  <si>
    <t>Storehouse 12</t>
  </si>
  <si>
    <t>Storehouse 13</t>
  </si>
  <si>
    <t>Storehouse 14</t>
  </si>
  <si>
    <t>Storehouse 15</t>
  </si>
  <si>
    <t>Storehouse 16</t>
  </si>
  <si>
    <t>Storehouse 17</t>
  </si>
  <si>
    <t>Storehouse 18</t>
  </si>
  <si>
    <t>Storehouse 19</t>
  </si>
  <si>
    <t>Storehouse 20</t>
  </si>
  <si>
    <t>Storehouse 21</t>
  </si>
  <si>
    <t>Silver Production</t>
    <phoneticPr fontId="2" type="noConversion"/>
  </si>
  <si>
    <t>Farm 1</t>
    <phoneticPr fontId="2" type="noConversion"/>
  </si>
  <si>
    <t>Farm 1</t>
    <phoneticPr fontId="2" type="noConversion"/>
  </si>
  <si>
    <t>Farm 2</t>
    <phoneticPr fontId="2" type="noConversion"/>
  </si>
  <si>
    <t>Farm 2</t>
    <phoneticPr fontId="2" type="noConversion"/>
  </si>
  <si>
    <t>Farm 3</t>
  </si>
  <si>
    <t>Farm 4</t>
  </si>
  <si>
    <t>Farm 5</t>
  </si>
  <si>
    <t>Farm 6</t>
  </si>
  <si>
    <t>Stronghold 6</t>
    <phoneticPr fontId="2" type="noConversion"/>
  </si>
  <si>
    <t>Stronghold 6</t>
    <phoneticPr fontId="2" type="noConversion"/>
  </si>
  <si>
    <t>Farm 7</t>
  </si>
  <si>
    <t>Farm 8</t>
  </si>
  <si>
    <t>Farm 9</t>
  </si>
  <si>
    <t>Farm 10</t>
  </si>
  <si>
    <t>Farm 11</t>
  </si>
  <si>
    <t>Farm 12</t>
  </si>
  <si>
    <t>Farm 13</t>
  </si>
  <si>
    <t>Farm 14</t>
  </si>
  <si>
    <t>Farm 15</t>
  </si>
  <si>
    <t>Farm 16</t>
  </si>
  <si>
    <t>Farm 17</t>
  </si>
  <si>
    <t>Farm 18</t>
  </si>
  <si>
    <t>Farm 19</t>
  </si>
  <si>
    <t>Farm 20</t>
  </si>
  <si>
    <t>Farm 21</t>
  </si>
  <si>
    <t>Logging Camp 1</t>
    <phoneticPr fontId="2" type="noConversion"/>
  </si>
  <si>
    <t>Logging Camp 1</t>
    <phoneticPr fontId="2" type="noConversion"/>
  </si>
  <si>
    <t>Logging Camp 2</t>
    <phoneticPr fontId="2" type="noConversion"/>
  </si>
  <si>
    <t>Logging Camp 2</t>
    <phoneticPr fontId="2" type="noConversion"/>
  </si>
  <si>
    <t>Logging Camp 3</t>
  </si>
  <si>
    <t>Logging Camp 4</t>
  </si>
  <si>
    <t>Logging Camp 5</t>
  </si>
  <si>
    <t>Logging Camp 6</t>
  </si>
  <si>
    <t>Logging Camp 7</t>
  </si>
  <si>
    <t>Logging Camp 8</t>
  </si>
  <si>
    <t>Logging Camp 9</t>
  </si>
  <si>
    <t>Logging Camp 10</t>
  </si>
  <si>
    <t>Logging Camp 11</t>
  </si>
  <si>
    <t>Logging Camp 12</t>
  </si>
  <si>
    <t>Logging Camp 13</t>
  </si>
  <si>
    <t>Logging Camp 14</t>
  </si>
  <si>
    <t>Logging Camp 15</t>
  </si>
  <si>
    <t>Logging Camp 16</t>
  </si>
  <si>
    <t>Logging Camp 17</t>
  </si>
  <si>
    <t>Logging Camp 18</t>
  </si>
  <si>
    <t>Logging Camp 19</t>
  </si>
  <si>
    <t>Logging Camp 20</t>
  </si>
  <si>
    <t>Logging Camp 21</t>
  </si>
  <si>
    <t>Quarry 1</t>
    <phoneticPr fontId="2" type="noConversion"/>
  </si>
  <si>
    <t>Quarry 2</t>
    <phoneticPr fontId="2" type="noConversion"/>
  </si>
  <si>
    <t>Quarry 3</t>
  </si>
  <si>
    <t>Quarry 4</t>
  </si>
  <si>
    <t>Quarry 5</t>
  </si>
  <si>
    <t>Quarry 6</t>
  </si>
  <si>
    <t>Quarry 7</t>
  </si>
  <si>
    <t>Quarry 8</t>
  </si>
  <si>
    <t>Quarry 9</t>
  </si>
  <si>
    <t>Quarry 10</t>
  </si>
  <si>
    <t>Quarry 11</t>
  </si>
  <si>
    <t>Quarry 12</t>
  </si>
  <si>
    <t>Quarry 13</t>
  </si>
  <si>
    <t>Quarry 14</t>
  </si>
  <si>
    <t>Quarry 15</t>
  </si>
  <si>
    <t>Quarry 16</t>
  </si>
  <si>
    <t>Quarry 17</t>
  </si>
  <si>
    <t>Quarry 18</t>
  </si>
  <si>
    <t>Quarry 19</t>
  </si>
  <si>
    <t>Quarry 20</t>
  </si>
  <si>
    <t>Quarry 21</t>
  </si>
  <si>
    <t>Mine 1</t>
    <phoneticPr fontId="2" type="noConversion"/>
  </si>
  <si>
    <t>Mine 2</t>
    <phoneticPr fontId="2" type="noConversion"/>
  </si>
  <si>
    <t>Mine 3</t>
  </si>
  <si>
    <t>Mine 4</t>
  </si>
  <si>
    <t>Mine 5</t>
  </si>
  <si>
    <t>Mine 6</t>
  </si>
  <si>
    <t>Mine 7</t>
  </si>
  <si>
    <t>Mine 8</t>
  </si>
  <si>
    <t>Mine 9</t>
  </si>
  <si>
    <t>Mine 10</t>
  </si>
  <si>
    <t>Mine 11</t>
  </si>
  <si>
    <t>Mine 12</t>
  </si>
  <si>
    <t>Mine 13</t>
  </si>
  <si>
    <t>Mine 14</t>
  </si>
  <si>
    <t>Mine 15</t>
  </si>
  <si>
    <t>Mine 16</t>
  </si>
  <si>
    <t>Mine 17</t>
  </si>
  <si>
    <t>Mine 18</t>
  </si>
  <si>
    <t>Mine 19</t>
  </si>
  <si>
    <t>Mine 20</t>
  </si>
  <si>
    <t>Mine 21</t>
  </si>
  <si>
    <t>Villa 1</t>
    <phoneticPr fontId="2" type="noConversion"/>
  </si>
  <si>
    <t>Training Speed</t>
  </si>
  <si>
    <t>Villa 2</t>
    <phoneticPr fontId="2" type="noConversion"/>
  </si>
  <si>
    <t>Villa 3</t>
  </si>
  <si>
    <t>Villa 4</t>
  </si>
  <si>
    <t>Villa 5</t>
  </si>
  <si>
    <t>Villa 6</t>
  </si>
  <si>
    <t>Logging Camp 6</t>
    <phoneticPr fontId="2" type="noConversion"/>
  </si>
  <si>
    <t>Farm 6</t>
    <phoneticPr fontId="2" type="noConversion"/>
  </si>
  <si>
    <t>Villa 7</t>
  </si>
  <si>
    <t>Logging Camp 7</t>
    <phoneticPr fontId="2" type="noConversion"/>
  </si>
  <si>
    <t>Farm 7</t>
    <phoneticPr fontId="2" type="noConversion"/>
  </si>
  <si>
    <t>Villa 8</t>
  </si>
  <si>
    <t>Villa 9</t>
  </si>
  <si>
    <t>Villa 10</t>
  </si>
  <si>
    <t>Villa 11</t>
  </si>
  <si>
    <t>Villa 12</t>
  </si>
  <si>
    <t>Villa 13</t>
  </si>
  <si>
    <t>Villa 14</t>
  </si>
  <si>
    <t>Villa 15</t>
  </si>
  <si>
    <t>Villa 16</t>
  </si>
  <si>
    <t>Villa 17</t>
  </si>
  <si>
    <t>Villa 18</t>
  </si>
  <si>
    <t>Villa 19</t>
  </si>
  <si>
    <t>Villa 20</t>
  </si>
  <si>
    <t>Villa 21</t>
  </si>
  <si>
    <t>Troop Attack</t>
    <phoneticPr fontId="2" type="noConversion"/>
  </si>
  <si>
    <t>Barracks 1</t>
    <phoneticPr fontId="2" type="noConversion"/>
  </si>
  <si>
    <t>Troop Queue</t>
  </si>
  <si>
    <t>Barracks 2</t>
  </si>
  <si>
    <t>Quarry 2</t>
    <phoneticPr fontId="2" type="noConversion"/>
  </si>
  <si>
    <t>Barracks 3</t>
  </si>
  <si>
    <t>Quarry 3</t>
    <phoneticPr fontId="2" type="noConversion"/>
  </si>
  <si>
    <t>Barracks 4</t>
  </si>
  <si>
    <t>Barracks 5</t>
  </si>
  <si>
    <t>Troop Defense</t>
    <phoneticPr fontId="2" type="noConversion"/>
  </si>
  <si>
    <t>Barracks 6</t>
  </si>
  <si>
    <t>Barracks 7</t>
  </si>
  <si>
    <t>Barracks 8</t>
  </si>
  <si>
    <t>Barracks 9</t>
  </si>
  <si>
    <t>Barracks 10</t>
  </si>
  <si>
    <t>Barracks 11</t>
  </si>
  <si>
    <t>Barracks 12</t>
  </si>
  <si>
    <t>Barracks 13</t>
  </si>
  <si>
    <t>Barracks 14</t>
  </si>
  <si>
    <t>Barracks 15</t>
  </si>
  <si>
    <t>Barracks 16</t>
  </si>
  <si>
    <t>Barracks 17</t>
  </si>
  <si>
    <t>Barracks 18</t>
  </si>
  <si>
    <t>Barracks 19</t>
  </si>
  <si>
    <t>Barracks 20</t>
  </si>
  <si>
    <t>Barracks 21</t>
  </si>
  <si>
    <t>Hospital 1</t>
    <phoneticPr fontId="2" type="noConversion"/>
  </si>
  <si>
    <t>Hospital Capacity</t>
    <phoneticPr fontId="2" type="noConversion"/>
  </si>
  <si>
    <t>Hospital 2</t>
  </si>
  <si>
    <t>Barracks 2</t>
    <phoneticPr fontId="2" type="noConversion"/>
  </si>
  <si>
    <t>Hospital 3</t>
  </si>
  <si>
    <t>Hospital 4</t>
  </si>
  <si>
    <t>Hospital 5</t>
  </si>
  <si>
    <t>Hospital 6</t>
  </si>
  <si>
    <t>Hospital 7</t>
  </si>
  <si>
    <t>Hospital 8</t>
  </si>
  <si>
    <t>Hospital 9</t>
  </si>
  <si>
    <t>Hospital 10</t>
  </si>
  <si>
    <t>Hospital 11</t>
  </si>
  <si>
    <t>Hospital 12</t>
  </si>
  <si>
    <t>Hospital 13</t>
  </si>
  <si>
    <t>Hospital 14</t>
  </si>
  <si>
    <t>Hospital 15</t>
  </si>
  <si>
    <t>Hospital 16</t>
  </si>
  <si>
    <t>Hospital 17</t>
  </si>
  <si>
    <t>Hospital 18</t>
  </si>
  <si>
    <t>Hospital 19</t>
  </si>
  <si>
    <t>Hospital 20</t>
  </si>
  <si>
    <t>Hospital 21</t>
  </si>
  <si>
    <t>Troop Health</t>
    <phoneticPr fontId="2" type="noConversion"/>
  </si>
  <si>
    <t>Academy 1</t>
    <phoneticPr fontId="2" type="noConversion"/>
  </si>
  <si>
    <t>Research Speed</t>
  </si>
  <si>
    <t>Academy 2</t>
  </si>
  <si>
    <t>Academy 3</t>
  </si>
  <si>
    <t>Stronghold 3</t>
  </si>
  <si>
    <t>Academy 4</t>
  </si>
  <si>
    <t>Stronghold 4</t>
  </si>
  <si>
    <t>Academy 5</t>
  </si>
  <si>
    <t>Academy 6</t>
  </si>
  <si>
    <t>Academy 7</t>
  </si>
  <si>
    <t>Academy 8</t>
  </si>
  <si>
    <t>Academy 9</t>
  </si>
  <si>
    <t>Academy 10</t>
  </si>
  <si>
    <t>Academy 11</t>
  </si>
  <si>
    <t>Academy 12</t>
  </si>
  <si>
    <t>Academy 13</t>
  </si>
  <si>
    <t>Academy 14</t>
  </si>
  <si>
    <t>Academy 15</t>
  </si>
  <si>
    <t>Academy 16</t>
  </si>
  <si>
    <t>Academy 17</t>
  </si>
  <si>
    <t>Academy 18</t>
  </si>
  <si>
    <t>Academy 19</t>
  </si>
  <si>
    <t>Academy 20</t>
  </si>
  <si>
    <t>Academy 21</t>
  </si>
  <si>
    <t>Forge 1</t>
    <phoneticPr fontId="2" type="noConversion"/>
  </si>
  <si>
    <t>Mine 1</t>
    <phoneticPr fontId="2" type="noConversion"/>
  </si>
  <si>
    <t>Crafting Speed</t>
  </si>
  <si>
    <t>Forge 2</t>
  </si>
  <si>
    <t>Mine 2</t>
  </si>
  <si>
    <t>Forge 3</t>
  </si>
  <si>
    <t>Forge 4</t>
  </si>
  <si>
    <t>Mine 5</t>
    <phoneticPr fontId="2" type="noConversion"/>
  </si>
  <si>
    <t>Forge 7</t>
  </si>
  <si>
    <t>Mine 7</t>
    <phoneticPr fontId="2" type="noConversion"/>
  </si>
  <si>
    <t>Forge 8</t>
  </si>
  <si>
    <t>Unlock Extra Accessory</t>
    <phoneticPr fontId="2" type="noConversion"/>
  </si>
  <si>
    <t>Marketplace 1</t>
    <phoneticPr fontId="2" type="noConversion"/>
  </si>
  <si>
    <t>Stronghold 5</t>
    <phoneticPr fontId="2" type="noConversion"/>
  </si>
  <si>
    <t>Resource Help Capacity</t>
    <phoneticPr fontId="2" type="noConversion"/>
  </si>
  <si>
    <t>Resource Help Tax</t>
    <phoneticPr fontId="2" type="noConversion"/>
  </si>
  <si>
    <t>Marketplace 2</t>
  </si>
  <si>
    <t>Marketplace 3</t>
  </si>
  <si>
    <t>Marketplace 4</t>
  </si>
  <si>
    <t>Marketplace 5</t>
  </si>
  <si>
    <t>Marketplace 6</t>
  </si>
  <si>
    <t>Stronghold 7</t>
    <phoneticPr fontId="2" type="noConversion"/>
  </si>
  <si>
    <t>Marketplace 7</t>
  </si>
  <si>
    <t>Marketplace 8</t>
  </si>
  <si>
    <t>Stronghold 8</t>
    <phoneticPr fontId="2" type="noConversion"/>
  </si>
  <si>
    <t>Marketplace 9</t>
  </si>
  <si>
    <t>Marketplace 10</t>
  </si>
  <si>
    <t>Marketplace 11</t>
  </si>
  <si>
    <t>Marketplace 12</t>
  </si>
  <si>
    <t>Marketplace 13</t>
  </si>
  <si>
    <t>Marketplace 14</t>
  </si>
  <si>
    <t>Marketplace 15</t>
  </si>
  <si>
    <t>Marketplace 16</t>
  </si>
  <si>
    <t>Marketplace 17</t>
  </si>
  <si>
    <t>Marketplace 18</t>
  </si>
  <si>
    <t>Marketplace 19</t>
  </si>
  <si>
    <t>Marketplace 20</t>
  </si>
  <si>
    <t>Marketplace 21</t>
  </si>
  <si>
    <t>Trade March Speed</t>
    <phoneticPr fontId="2" type="noConversion"/>
  </si>
  <si>
    <t>Embassy 1</t>
  </si>
  <si>
    <t>Quarry 6</t>
    <phoneticPr fontId="2" type="noConversion"/>
  </si>
  <si>
    <t>Reinforce Troop Capacity</t>
  </si>
  <si>
    <t>Embassy 2</t>
  </si>
  <si>
    <t>Embassy 3</t>
  </si>
  <si>
    <t>Embassy 4</t>
  </si>
  <si>
    <t>Embassy 5</t>
  </si>
  <si>
    <t>Embassy 6</t>
  </si>
  <si>
    <t>Quarry 8</t>
    <phoneticPr fontId="2" type="noConversion"/>
  </si>
  <si>
    <t>Embassy 7</t>
  </si>
  <si>
    <t>Embassy 8</t>
  </si>
  <si>
    <t>Embassy 9</t>
  </si>
  <si>
    <t>Embassy 10</t>
  </si>
  <si>
    <t>Embassy 11</t>
  </si>
  <si>
    <t>Embassy 12</t>
  </si>
  <si>
    <t>Embassy 13</t>
  </si>
  <si>
    <t>Embassy 14</t>
  </si>
  <si>
    <t>Embassy 15</t>
  </si>
  <si>
    <t>Embassy 16</t>
  </si>
  <si>
    <t>Embassy 17</t>
  </si>
  <si>
    <t>Embassy 18</t>
  </si>
  <si>
    <t>Embassy 19</t>
  </si>
  <si>
    <t>Embassy 20</t>
  </si>
  <si>
    <t>Embassy 21</t>
  </si>
  <si>
    <t>Embassy Defense Bonus</t>
    <phoneticPr fontId="2" type="noConversion"/>
  </si>
  <si>
    <t>Hall of War 1</t>
  </si>
  <si>
    <t>Embassy 1</t>
    <phoneticPr fontId="2" type="noConversion"/>
  </si>
  <si>
    <t>Book of War * 1</t>
    <phoneticPr fontId="2" type="noConversion"/>
  </si>
  <si>
    <t>Rally Troop Capacity</t>
  </si>
  <si>
    <t>Hall of War 2</t>
  </si>
  <si>
    <t>Book of War * 2</t>
  </si>
  <si>
    <t>Hall of War 3</t>
  </si>
  <si>
    <t>Book of War * 5</t>
    <phoneticPr fontId="2" type="noConversion"/>
  </si>
  <si>
    <t>Hall of War 4</t>
  </si>
  <si>
    <t>Book of War * 12</t>
    <phoneticPr fontId="2" type="noConversion"/>
  </si>
  <si>
    <t>Hall of War 5</t>
  </si>
  <si>
    <t>Hall of War 6</t>
  </si>
  <si>
    <t>Hall of War 7</t>
  </si>
  <si>
    <t>Hall of War 8</t>
  </si>
  <si>
    <t>Hall of War 9</t>
  </si>
  <si>
    <t>Hall of War 10</t>
  </si>
  <si>
    <t>Hall of War 11</t>
  </si>
  <si>
    <t>Hall of War 12</t>
  </si>
  <si>
    <t>Hall of War 13</t>
  </si>
  <si>
    <t>Hall of War 14</t>
  </si>
  <si>
    <t>Hall of War 15</t>
  </si>
  <si>
    <t>Hall of War 16</t>
  </si>
  <si>
    <t>Hall of War 17</t>
  </si>
  <si>
    <t>Hall of War 18</t>
  </si>
  <si>
    <t>Hall of War 19</t>
  </si>
  <si>
    <t>Hall of War 20</t>
  </si>
  <si>
    <t>Hall of War 21</t>
  </si>
  <si>
    <t>Rally Attack Bonus</t>
    <phoneticPr fontId="2" type="noConversion"/>
  </si>
  <si>
    <t>Watchtower 1</t>
    <phoneticPr fontId="2" type="noConversion"/>
  </si>
  <si>
    <t>Watchtower 2</t>
  </si>
  <si>
    <t>Scout Bonus Cost</t>
    <phoneticPr fontId="2" type="noConversion"/>
  </si>
  <si>
    <t>Watchtower 3</t>
  </si>
  <si>
    <t>Watchtower 4</t>
  </si>
  <si>
    <t>Watchtower 5</t>
  </si>
  <si>
    <t>Watchtower 6</t>
  </si>
  <si>
    <t>Watchtower 7</t>
  </si>
  <si>
    <t>Watchtower 8</t>
  </si>
  <si>
    <t>Watchtower 9</t>
  </si>
  <si>
    <t>Watchtower 10</t>
  </si>
  <si>
    <t>Watchtower 11</t>
  </si>
  <si>
    <t>Watchtower 12</t>
  </si>
  <si>
    <t>Watchtower 13</t>
  </si>
  <si>
    <t>Watchtower 14</t>
  </si>
  <si>
    <t>Watchtower 15</t>
  </si>
  <si>
    <t>Watchtower 16</t>
  </si>
  <si>
    <t>Watchtower 17</t>
  </si>
  <si>
    <t>Watchtower 18</t>
  </si>
  <si>
    <t>Watchtower 19</t>
  </si>
  <si>
    <t>Watchtower 20</t>
  </si>
  <si>
    <t>Watchtower 21</t>
  </si>
  <si>
    <t>Gymnos 1</t>
    <phoneticPr fontId="2" type="noConversion"/>
  </si>
  <si>
    <t>Villa 3</t>
    <phoneticPr fontId="2" type="noConversion"/>
  </si>
  <si>
    <t>Hero XP Modifier</t>
    <phoneticPr fontId="2" type="noConversion"/>
  </si>
  <si>
    <t>Hero XP Retention</t>
    <phoneticPr fontId="2" type="noConversion"/>
  </si>
  <si>
    <t>Gymnos 2</t>
  </si>
  <si>
    <t>Gymnos 3</t>
  </si>
  <si>
    <t>Gymnos 4</t>
  </si>
  <si>
    <t>Gymnos 5</t>
  </si>
  <si>
    <t>Villa 5</t>
    <phoneticPr fontId="2" type="noConversion"/>
  </si>
  <si>
    <t>Gymnos 6</t>
  </si>
  <si>
    <t>Gymnos 7</t>
  </si>
  <si>
    <t>Gymnos 8</t>
  </si>
  <si>
    <t>Gymnos 9</t>
  </si>
  <si>
    <t>Gymnos 10</t>
  </si>
  <si>
    <t>Gymnos 11</t>
  </si>
  <si>
    <t>Gymnos 12</t>
  </si>
  <si>
    <t>Gymnos 13</t>
  </si>
  <si>
    <t>Gymnos 14</t>
  </si>
  <si>
    <t>Gymnos 15</t>
  </si>
  <si>
    <t>Gymnos 16</t>
  </si>
  <si>
    <t>Gymnos 17</t>
  </si>
  <si>
    <t>Gymnos 18</t>
  </si>
  <si>
    <t>Gymnos 19</t>
  </si>
  <si>
    <t>Gymnos 20</t>
  </si>
  <si>
    <t>Gymnos 21</t>
  </si>
  <si>
    <t>Gold Mine 1</t>
    <phoneticPr fontId="2" type="noConversion"/>
  </si>
  <si>
    <t>Connect with Facebook</t>
    <phoneticPr fontId="2" type="noConversion"/>
  </si>
  <si>
    <t>Gold Collections per Day</t>
    <phoneticPr fontId="2" type="noConversion"/>
  </si>
  <si>
    <t>Gold Mine 2</t>
  </si>
  <si>
    <t>Academy 2</t>
    <phoneticPr fontId="2" type="noConversion"/>
  </si>
  <si>
    <t>Golden Pickaxe * 1</t>
    <phoneticPr fontId="2" type="noConversion"/>
  </si>
  <si>
    <t>Gold Mine 3</t>
  </si>
  <si>
    <t>Gold Mine 4</t>
  </si>
  <si>
    <t>Gold Mine 5</t>
  </si>
  <si>
    <t>Gold Mine 6</t>
  </si>
  <si>
    <t>Gold Mine 7</t>
  </si>
  <si>
    <t>Gold Mine 8</t>
  </si>
  <si>
    <t>Gold Mine 9</t>
  </si>
  <si>
    <t>Gold Mine 10</t>
  </si>
  <si>
    <t>Gold Mine 11</t>
  </si>
  <si>
    <t>Gold Mine 12</t>
  </si>
  <si>
    <t>Gold Mine 13</t>
  </si>
  <si>
    <t>Gold Mine 14</t>
  </si>
  <si>
    <t>Gold Mine 15</t>
  </si>
  <si>
    <t>Gold Mine 16</t>
  </si>
  <si>
    <t>Gold Mine 17</t>
  </si>
  <si>
    <t>Gold Mine 18</t>
  </si>
  <si>
    <t>Gold Mine 19</t>
  </si>
  <si>
    <t>Gold Mine 20</t>
  </si>
  <si>
    <t>Gold Mine 21</t>
  </si>
  <si>
    <t>Bonus Gold per Collection</t>
    <phoneticPr fontId="2" type="noConversion"/>
  </si>
  <si>
    <t>resource cost</t>
    <phoneticPr fontId="2" type="noConversion"/>
  </si>
  <si>
    <t>output during leveling</t>
    <phoneticPr fontId="2" type="noConversion"/>
  </si>
  <si>
    <t>total rewards</t>
    <phoneticPr fontId="2" type="noConversion"/>
  </si>
  <si>
    <t>resources gained</t>
    <phoneticPr fontId="2" type="noConversion"/>
  </si>
  <si>
    <t>gained/cost</t>
    <phoneticPr fontId="2" type="noConversion"/>
  </si>
  <si>
    <t>resource gained</t>
    <phoneticPr fontId="2" type="noConversion"/>
  </si>
  <si>
    <t>gained/cost</t>
    <phoneticPr fontId="2" type="noConversion"/>
  </si>
  <si>
    <t>sec for reference</t>
    <phoneticPr fontId="2" type="noConversion"/>
  </si>
  <si>
    <t>level time</t>
    <phoneticPr fontId="2" type="noConversion"/>
  </si>
  <si>
    <t>total</t>
    <phoneticPr fontId="2" type="noConversion"/>
  </si>
  <si>
    <t>resource needed</t>
    <phoneticPr fontId="2" type="noConversion"/>
  </si>
  <si>
    <t>for each resource building</t>
    <phoneticPr fontId="2" type="noConversion"/>
  </si>
  <si>
    <t>resource output/hour</t>
    <phoneticPr fontId="2" type="noConversion"/>
  </si>
  <si>
    <t>resource reward</t>
    <phoneticPr fontId="2" type="noConversion"/>
  </si>
  <si>
    <t>for resource buildings total</t>
    <phoneticPr fontId="2" type="noConversion"/>
  </si>
  <si>
    <t>for all buildings total</t>
    <phoneticPr fontId="2" type="noConversion"/>
  </si>
  <si>
    <t>resource output in this level</t>
    <phoneticPr fontId="2" type="noConversion"/>
  </si>
  <si>
    <t>output/ needed (resources)</t>
    <phoneticPr fontId="2" type="noConversion"/>
  </si>
  <si>
    <t>percentage</t>
    <phoneticPr fontId="2" type="noConversion"/>
  </si>
  <si>
    <t>content</t>
    <phoneticPr fontId="2" type="noConversion"/>
  </si>
  <si>
    <t>resource building</t>
    <phoneticPr fontId="2" type="noConversion"/>
  </si>
  <si>
    <t>functional building</t>
    <phoneticPr fontId="2" type="noConversion"/>
  </si>
  <si>
    <t>daily quest</t>
    <phoneticPr fontId="2" type="noConversion"/>
  </si>
  <si>
    <t>research</t>
    <phoneticPr fontId="2" type="noConversion"/>
  </si>
  <si>
    <t>battle&amp; march</t>
    <phoneticPr fontId="2" type="noConversion"/>
  </si>
  <si>
    <t>aliance quest</t>
    <phoneticPr fontId="2" type="noConversion"/>
  </si>
  <si>
    <t>(VIP quest)</t>
    <phoneticPr fontId="2" type="noConversion"/>
  </si>
  <si>
    <t>total</t>
    <phoneticPr fontId="2" type="noConversion"/>
  </si>
  <si>
    <t>resource speed</t>
    <phoneticPr fontId="2" type="noConversion"/>
  </si>
  <si>
    <t>other( level &amp; achievement)</t>
    <phoneticPr fontId="2" type="noConversion"/>
  </si>
  <si>
    <t>Quest Rewards (resources)</t>
    <phoneticPr fontId="2" type="noConversion"/>
  </si>
  <si>
    <t>10~20%</t>
    <phoneticPr fontId="2" type="noConversion"/>
  </si>
  <si>
    <r>
      <t>对于</t>
    </r>
    <r>
      <rPr>
        <u/>
        <sz val="10"/>
        <color rgb="FF222222"/>
        <rFont val="微软雅黑"/>
        <family val="2"/>
        <charset val="134"/>
      </rPr>
      <t>平均玩家</t>
    </r>
    <r>
      <rPr>
        <sz val="10"/>
        <color rgb="FF222222"/>
        <rFont val="微软雅黑"/>
        <family val="2"/>
        <charset val="134"/>
      </rPr>
      <t>而言，我们在首个上线版本中将努力使其在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个月左右的时间内不停有需要追寻、提升自己的内容</t>
    </r>
    <r>
      <rPr>
        <sz val="10"/>
        <color rgb="FF222222"/>
        <rFont val="宋体"/>
        <family val="3"/>
        <charset val="134"/>
      </rPr>
      <t>。</t>
    </r>
  </si>
  <si>
    <r>
      <t>对于</t>
    </r>
    <r>
      <rPr>
        <u/>
        <sz val="10"/>
        <color rgb="FF222222"/>
        <rFont val="微软雅黑"/>
        <family val="2"/>
        <charset val="134"/>
      </rPr>
      <t>大</t>
    </r>
    <r>
      <rPr>
        <u/>
        <sz val="10"/>
        <color rgb="FF222222"/>
        <rFont val="Arial"/>
        <family val="2"/>
      </rPr>
      <t>R</t>
    </r>
    <r>
      <rPr>
        <u/>
        <sz val="10"/>
        <color rgb="FF222222"/>
        <rFont val="微软雅黑"/>
        <family val="2"/>
        <charset val="134"/>
      </rPr>
      <t>玩家</t>
    </r>
    <r>
      <rPr>
        <sz val="10"/>
        <color rgb="FF222222"/>
        <rFont val="微软雅黑"/>
        <family val="2"/>
        <charset val="134"/>
      </rPr>
      <t>，这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个月时间将被大幅缩短。但我们的联盟玩法会给予这部分玩家新的追求（如有可能我们还将通过联盟</t>
    </r>
    <r>
      <rPr>
        <sz val="10"/>
        <color rgb="FF222222"/>
        <rFont val="Arial"/>
        <family val="2"/>
      </rPr>
      <t>events</t>
    </r>
    <r>
      <rPr>
        <sz val="10"/>
        <color rgb="FF222222"/>
        <rFont val="微软雅黑"/>
        <family val="2"/>
        <charset val="134"/>
      </rPr>
      <t>来刺激这个追求），并且一部分通过任务才能达成的追求也会要求他继续保持活跃</t>
    </r>
    <r>
      <rPr>
        <sz val="10"/>
        <color rgb="FF222222"/>
        <rFont val="宋体"/>
        <family val="3"/>
        <charset val="134"/>
      </rPr>
      <t>。</t>
    </r>
  </si>
  <si>
    <r>
      <t>对于</t>
    </r>
    <r>
      <rPr>
        <u/>
        <sz val="10"/>
        <color rgb="FF222222"/>
        <rFont val="微软雅黑"/>
        <family val="2"/>
        <charset val="134"/>
      </rPr>
      <t>每日登陆但操作频率低的玩家</t>
    </r>
    <r>
      <rPr>
        <sz val="10"/>
        <color rgb="FF222222"/>
        <rFont val="微软雅黑"/>
        <family val="2"/>
        <charset val="134"/>
      </rPr>
      <t>，这</t>
    </r>
    <r>
      <rPr>
        <sz val="10"/>
        <color rgb="FF222222"/>
        <rFont val="Arial"/>
        <family val="2"/>
      </rPr>
      <t>5</t>
    </r>
    <r>
      <rPr>
        <sz val="10"/>
        <color rgb="FF222222"/>
        <rFont val="微软雅黑"/>
        <family val="2"/>
        <charset val="134"/>
      </rPr>
      <t>个月的时间将被拉长</t>
    </r>
    <r>
      <rPr>
        <sz val="10"/>
        <color rgb="FF222222"/>
        <rFont val="Arial"/>
        <family val="2"/>
      </rPr>
      <t>2-3</t>
    </r>
    <r>
      <rPr>
        <sz val="10"/>
        <color rgb="FF222222"/>
        <rFont val="微软雅黑"/>
        <family val="2"/>
        <charset val="134"/>
      </rPr>
      <t>倍</t>
    </r>
    <r>
      <rPr>
        <sz val="10"/>
        <color rgb="FF222222"/>
        <rFont val="宋体"/>
        <family val="3"/>
        <charset val="134"/>
      </rPr>
      <t>。</t>
    </r>
  </si>
  <si>
    <t>兴奋点</t>
  </si>
  <si>
    <t>参数</t>
  </si>
  <si>
    <t>时间点（天）</t>
  </si>
  <si>
    <t>建造车辆</t>
  </si>
  <si>
    <t>1、2</t>
  </si>
  <si>
    <t>制造装备</t>
  </si>
  <si>
    <t>加入联盟</t>
  </si>
  <si>
    <t>修理队列解锁</t>
  </si>
  <si>
    <t>3、4、5、6</t>
  </si>
  <si>
    <t>车辆升级</t>
  </si>
  <si>
    <t>制造弹药</t>
  </si>
  <si>
    <t>解锁车队</t>
  </si>
  <si>
    <t>装备升档</t>
  </si>
  <si>
    <t>弹药升档</t>
  </si>
  <si>
    <r>
      <t>获得资源</t>
    </r>
    <r>
      <rPr>
        <sz val="10"/>
        <color rgb="FF222222"/>
        <rFont val="宋体"/>
        <family val="3"/>
        <charset val="134"/>
      </rPr>
      <t>：</t>
    </r>
  </si>
  <si>
    <t>分类</t>
  </si>
  <si>
    <t>系统整体产出？</t>
  </si>
  <si>
    <t>前期占比</t>
  </si>
  <si>
    <t>中期占比</t>
  </si>
  <si>
    <t>后期占比</t>
  </si>
  <si>
    <t>野外资源点</t>
  </si>
  <si>
    <t>建筑物生产</t>
  </si>
  <si>
    <t>任务</t>
  </si>
  <si>
    <t>PVP掠夺</t>
  </si>
  <si>
    <t>其他</t>
  </si>
  <si>
    <t>总计</t>
  </si>
  <si>
    <r>
      <t>消耗资源</t>
    </r>
    <r>
      <rPr>
        <sz val="10"/>
        <color rgb="FF222222"/>
        <rFont val="宋体"/>
        <family val="3"/>
        <charset val="134"/>
      </rPr>
      <t>：</t>
    </r>
  </si>
  <si>
    <t>系统整体消耗？</t>
  </si>
  <si>
    <t>城建（建筑物升级、科技发展）</t>
  </si>
  <si>
    <t>车辆</t>
  </si>
  <si>
    <t>装备</t>
  </si>
  <si>
    <t>修理</t>
  </si>
  <si>
    <t>弹药</t>
  </si>
  <si>
    <t>掠夺</t>
  </si>
  <si>
    <r>
      <t>2.</t>
    </r>
    <r>
      <rPr>
        <b/>
        <sz val="10"/>
        <color rgb="FF222222"/>
        <rFont val="微软雅黑"/>
        <family val="2"/>
        <charset val="134"/>
      </rPr>
      <t>兴奋点安</t>
    </r>
    <r>
      <rPr>
        <b/>
        <sz val="10"/>
        <color rgb="FF222222"/>
        <rFont val="宋体"/>
        <family val="3"/>
        <charset val="134"/>
      </rPr>
      <t>排</t>
    </r>
    <phoneticPr fontId="2" type="noConversion"/>
  </si>
  <si>
    <r>
      <t>3.</t>
    </r>
    <r>
      <rPr>
        <b/>
        <sz val="10"/>
        <color rgb="FF222222"/>
        <rFont val="微软雅黑"/>
        <family val="2"/>
        <charset val="134"/>
      </rPr>
      <t>玩家获得、消耗资源的方式</t>
    </r>
    <phoneticPr fontId="2" type="noConversion"/>
  </si>
  <si>
    <t>Q:玩家会不会不想升级资源建筑物，而是穷兵黩武呢？</t>
    <phoneticPr fontId="2" type="noConversion"/>
  </si>
  <si>
    <t>A：这也是一种玩法，事实上，这种玩家具有很强的互动性，我们并不介意玩家以这种方式进行游戏。另外，这一类型的玩家最终的追求往往还是体现在一座高等级的城池上，因为军队可以被消灭，只有城市不能回退。</t>
    <phoneticPr fontId="2" type="noConversion"/>
  </si>
  <si>
    <t>Q：玩家中后期资源不足够其建造、升级使用，会让玩家卡住、产生挫折感吗？</t>
    <phoneticPr fontId="2" type="noConversion"/>
  </si>
  <si>
    <t>Q：资源建筑物会随着基地升级而解锁，这会使此规划失效吗？</t>
    <phoneticPr fontId="2" type="noConversion"/>
  </si>
  <si>
    <t>A：资源建筑物数量随着总部级别而逐步解锁，但并不影响资源建筑的规划。因为最终玩家需要将几个资源建筑物建造并升到顶级，这个过程并不可跳过。</t>
    <phoneticPr fontId="2" type="noConversion"/>
  </si>
  <si>
    <t>A：我们来讨论极端情况
若资源建筑物配比极端提高：
基地升级后，玩家将不存在取舍，必将首先升级功能建筑，随后通过时间积累、资源获取达到满足资源建筑物需求的条件。
若功能建筑物配比极端提高：
玩家的行为是基地升级后，将资源建筑物全部升级，可以一直点击下去。中间没有任何断层，玩家也就没有出去找资源、进行PVP或PVE的动力。</t>
    <phoneticPr fontId="2" type="noConversion"/>
  </si>
  <si>
    <t>Q：资源建筑物与功能建筑物之间为什么需要平衡？</t>
    <phoneticPr fontId="2" type="noConversion"/>
  </si>
  <si>
    <t>与传统的此类游戏相比，我们主要希望针对两个目标做修改、优化：
 1、宏观上建筑方面达到5个月左右的建造、升级时间。
 2、微观上，用户的提升不过于缓慢，玩家后期可以在2-3天左右体验到自己的提升，并强化其在游戏中的登陆习惯。</t>
    <phoneticPr fontId="2" type="noConversion"/>
  </si>
  <si>
    <t>提高操作次数的方式有：
1、 使得大部分玩家升级完了40所有的建筑，而不是偏重某一种。玩家的偏向性主要体现在科技上,而并非在建筑物升级上。为达到这个目的可能的方式有：
a. 通过数值的设置使得所有资源建筑升级完成后方可升级stronghold
b. 通过建筑物的依赖关系使得玩家需要将大部分的建筑物有效的升级
c. 通过性价比等设置引导玩家将各种建筑作较为平均的升级
2、 更多的资源建筑物种类
3、 将资源上限建筑与资源生产速度建筑分开
4、 增加同一种资源建筑的数量。与此相匹配的是：
a. 数量上限
b. 解锁的时间点
5、 增加资源建筑的级别数
其中2、3两种做法与我们前期的设计差异较大，1、4、5是冲突比较小的优化方式。本表中将针对第5点作大量的优化。</t>
    <phoneticPr fontId="2" type="noConversion"/>
  </si>
  <si>
    <t>gained/cost
（resource）</t>
    <phoneticPr fontId="2" type="noConversion"/>
  </si>
  <si>
    <t>权重</t>
    <phoneticPr fontId="2" type="noConversion"/>
  </si>
  <si>
    <t>与gow、dhd一样，升级时间膨胀迅速，而出产速度提高相对慢</t>
  </si>
  <si>
    <t>确保升级时间在界面上的显示由两级可以完成，如“1H40M”“ 1D19H”</t>
  </si>
  <si>
    <t>Quest Resource</t>
  </si>
  <si>
    <t>Content</t>
  </si>
  <si>
    <t>Percentage</t>
  </si>
  <si>
    <t>Main Quest</t>
  </si>
  <si>
    <t>Building</t>
  </si>
  <si>
    <t>Research</t>
  </si>
  <si>
    <t>War</t>
  </si>
  <si>
    <t>Car Factory &amp; Equipment</t>
  </si>
  <si>
    <t>Others</t>
  </si>
  <si>
    <t>Daily Quest</t>
  </si>
  <si>
    <t>Alliance Quest</t>
  </si>
  <si>
    <t>Total</t>
  </si>
  <si>
    <t>VIP Quest</t>
  </si>
  <si>
    <t>10%~20%</t>
  </si>
  <si>
    <t>car &amp; gear &amp; ammo &amp; squad</t>
    <phoneticPr fontId="2" type="noConversion"/>
  </si>
  <si>
    <t>A：我们给了玩家多样化的获取资源的方式。大地图有资源点供玩家采集，若资源点出产太少，可以迁移到更高级的地区。
玩家如果不通过掠夺其他玩家、占领资源点获取额外的资源，而是一直依靠城中出产的资源，其发展时间将被拉长。但是其玩法不会被打断，总体上我们保证其接受到的都是正向的反馈。</t>
    <phoneticPr fontId="2" type="noConversion"/>
  </si>
  <si>
    <r>
      <t>目前确定的重要兴奋点为</t>
    </r>
    <r>
      <rPr>
        <sz val="10"/>
        <color rgb="FF222222"/>
        <rFont val="宋体"/>
        <family val="3"/>
        <charset val="134"/>
      </rPr>
      <t>：</t>
    </r>
    <phoneticPr fontId="2" type="noConversion"/>
  </si>
  <si>
    <t>4.前后期的基本用户时间、资源体验：</t>
    <phoneticPr fontId="2" type="noConversion"/>
  </si>
  <si>
    <t>level duration
(sec)</t>
    <phoneticPr fontId="2" type="noConversion"/>
  </si>
  <si>
    <t>Capacity</t>
    <phoneticPr fontId="2" type="noConversion"/>
  </si>
  <si>
    <t>output to full time</t>
    <phoneticPr fontId="2" type="noConversion"/>
  </si>
  <si>
    <t>capacity full time</t>
    <phoneticPr fontId="2" type="noConversion"/>
  </si>
  <si>
    <t>资源建筑物建造需要更多的时间、更少的资源，总建造时间在2000小时左右</t>
    <phoneticPr fontId="2" type="noConversion"/>
  </si>
  <si>
    <t>功能建筑物建造需要更多的资源、更少的时间，总建造时间在1000小时左右</t>
    <phoneticPr fontId="2" type="noConversion"/>
  </si>
  <si>
    <r>
      <t>1.</t>
    </r>
    <r>
      <rPr>
        <sz val="7"/>
        <color rgb="FF222222"/>
        <rFont val="Times New Roman"/>
        <family val="1"/>
      </rPr>
      <t> </t>
    </r>
    <r>
      <rPr>
        <b/>
        <sz val="10"/>
        <color rgb="FF222222"/>
        <rFont val="微软雅黑"/>
        <family val="2"/>
        <charset val="134"/>
      </rPr>
      <t>玩家成长、追求时</t>
    </r>
    <r>
      <rPr>
        <b/>
        <sz val="10"/>
        <color rgb="FF222222"/>
        <rFont val="宋体"/>
        <family val="3"/>
        <charset val="134"/>
      </rPr>
      <t>间</t>
    </r>
    <phoneticPr fontId="2" type="noConversion"/>
  </si>
  <si>
    <r>
      <t>参考方案</t>
    </r>
    <r>
      <rPr>
        <sz val="9"/>
        <color theme="1"/>
        <rFont val="微软雅黑"/>
        <family val="2"/>
        <charset val="134"/>
      </rPr>
      <t>：前期基本可无等待冲到玩家等级10，中期每天可获得实力阶段性提升；后期以联盟活动为主，2-3天可迎来小幅度成长</t>
    </r>
    <phoneticPr fontId="2" type="noConversion"/>
  </si>
  <si>
    <t>这两个目标一个要求总时间长，一个要求间隔时间短。其解决办法就是让用户更多次的操作，而两次操作中间间隔缩短。</t>
    <phoneticPr fontId="2" type="noConversion"/>
  </si>
  <si>
    <t>科技共可为资源生产带来20%幅度的增益。科技随基地等级而解锁等级，基地每升高3级科技解锁一个新等级，且科技的增益升高越来越快。</t>
    <phoneticPr fontId="2" type="noConversion"/>
  </si>
  <si>
    <t>HQ Level</t>
    <phoneticPr fontId="2" type="noConversion"/>
  </si>
  <si>
    <t>protection proportion</t>
    <phoneticPr fontId="2" type="noConversion"/>
  </si>
  <si>
    <t>protection limit</t>
    <phoneticPr fontId="2" type="noConversion"/>
  </si>
  <si>
    <t>为清晰性与一致性，本表以建筑物等级为度量。</t>
    <phoneticPr fontId="2" type="noConversion"/>
  </si>
  <si>
    <t>Resource Enhancing from Research</t>
    <phoneticPr fontId="2" type="noConversion"/>
  </si>
  <si>
    <t>Enhancing Result</t>
    <phoneticPr fontId="2" type="noConversion"/>
  </si>
  <si>
    <t>research enhancing reduced</t>
    <phoneticPr fontId="2" type="noConversion"/>
  </si>
  <si>
    <t>for each resource building</t>
    <phoneticPr fontId="2" type="noConversion"/>
  </si>
  <si>
    <t>索引id</t>
    <phoneticPr fontId="33" type="noConversion"/>
  </si>
  <si>
    <t>建筑等级，游戏内显示</t>
  </si>
  <si>
    <t>建筑类型</t>
    <phoneticPr fontId="33" type="noConversion"/>
  </si>
  <si>
    <t>生产力（单位：min）</t>
    <phoneticPr fontId="33" type="noConversion"/>
  </si>
  <si>
    <t>暂存上限</t>
    <phoneticPr fontId="33" type="noConversion"/>
  </si>
  <si>
    <r>
      <t>i</t>
    </r>
    <r>
      <rPr>
        <sz val="11"/>
        <color theme="1"/>
        <rFont val="宋体"/>
        <family val="2"/>
        <charset val="134"/>
        <scheme val="minor"/>
      </rPr>
      <t>d</t>
    </r>
    <phoneticPr fontId="33" type="noConversion"/>
  </si>
  <si>
    <t>level</t>
    <phoneticPr fontId="33" type="noConversion"/>
  </si>
  <si>
    <r>
      <rPr>
        <sz val="11"/>
        <color indexed="8"/>
        <rFont val="宋体"/>
        <family val="3"/>
        <charset val="134"/>
      </rPr>
      <t>type</t>
    </r>
    <r>
      <rPr>
        <sz val="11"/>
        <color indexed="8"/>
        <rFont val="宋体"/>
        <family val="3"/>
        <charset val="134"/>
      </rPr>
      <t>_id</t>
    </r>
    <phoneticPr fontId="33" type="noConversion"/>
  </si>
  <si>
    <t>production_rate</t>
    <phoneticPr fontId="33" type="noConversion"/>
  </si>
  <si>
    <t>keep</t>
    <phoneticPr fontId="33" type="noConversion"/>
  </si>
  <si>
    <t>int</t>
  </si>
  <si>
    <r>
      <t>i</t>
    </r>
    <r>
      <rPr>
        <sz val="11"/>
        <color indexed="8"/>
        <rFont val="宋体"/>
        <family val="3"/>
        <charset val="134"/>
      </rPr>
      <t>nt</t>
    </r>
    <phoneticPr fontId="33" type="noConversion"/>
  </si>
  <si>
    <t>int</t>
    <phoneticPr fontId="33" type="noConversion"/>
  </si>
  <si>
    <t>cs</t>
  </si>
  <si>
    <r>
      <t>c</t>
    </r>
    <r>
      <rPr>
        <sz val="11"/>
        <color indexed="8"/>
        <rFont val="宋体"/>
        <family val="3"/>
        <charset val="134"/>
      </rPr>
      <t>s</t>
    </r>
    <phoneticPr fontId="33" type="noConversion"/>
  </si>
  <si>
    <t>cs</t>
    <phoneticPr fontId="33" type="noConversion"/>
  </si>
  <si>
    <t>总权重</t>
    <phoneticPr fontId="2" type="noConversion"/>
  </si>
  <si>
    <t>建筑等级</t>
    <phoneticPr fontId="33" type="noConversion"/>
  </si>
  <si>
    <t>资源类型[:scrap =&gt; 0, :metal =&gt; 1, :oil =&gt; 2]</t>
  </si>
  <si>
    <t>存量</t>
  </si>
  <si>
    <t>保护量</t>
  </si>
  <si>
    <t>resource_id</t>
  </si>
  <si>
    <t>storage</t>
  </si>
  <si>
    <t>protect</t>
  </si>
  <si>
    <t>int</t>
    <phoneticPr fontId="33" type="noConversion"/>
  </si>
  <si>
    <t>cs</t>
    <phoneticPr fontId="33" type="noConversion"/>
  </si>
  <si>
    <t>id</t>
    <phoneticPr fontId="33" type="noConversion"/>
  </si>
  <si>
    <r>
      <t>i</t>
    </r>
    <r>
      <rPr>
        <sz val="11"/>
        <color indexed="8"/>
        <rFont val="Arial Unicode MS"/>
        <family val="2"/>
        <charset val="134"/>
      </rPr>
      <t>nt</t>
    </r>
    <phoneticPr fontId="33" type="noConversion"/>
  </si>
  <si>
    <r>
      <t>c</t>
    </r>
    <r>
      <rPr>
        <sz val="11"/>
        <color indexed="8"/>
        <rFont val="Arial Unicode MS"/>
        <family val="2"/>
        <charset val="134"/>
      </rPr>
      <t>s</t>
    </r>
    <phoneticPr fontId="33" type="noConversion"/>
  </si>
  <si>
    <t>建筑物升级带来的玩家经验、power提升待定。另外，通过本设计之后，我们将讨论出基础的资源定价，并以此为基础得到各建筑物的instant价格。</t>
    <phoneticPr fontId="2" type="noConversion"/>
  </si>
  <si>
    <t>#资源建筑</t>
  </si>
  <si>
    <t>junkcollector.name</t>
  </si>
  <si>
    <t>junkcollector.intro</t>
  </si>
  <si>
    <t>metalcollector.name</t>
  </si>
  <si>
    <t>metalcollector.intro</t>
  </si>
  <si>
    <t>oilcollector.name</t>
  </si>
  <si>
    <t>oilcollector.intro</t>
  </si>
  <si>
    <t>唯一标示符</t>
  </si>
  <si>
    <t>建筑名称，填写文本key(来自globalstrings)</t>
  </si>
  <si>
    <t>建筑类型</t>
  </si>
  <si>
    <t>建筑介绍，填写文本key</t>
  </si>
  <si>
    <t>调用的模型id</t>
  </si>
  <si>
    <t>消耗的时间，单位s</t>
  </si>
  <si>
    <t>资源消耗</t>
  </si>
  <si>
    <t>道具id*个数</t>
  </si>
  <si>
    <t>立即完成所需要消耗的货币数量（资源）</t>
  </si>
  <si>
    <t>完成建筑后奖励给玩家的玩家经验值</t>
  </si>
  <si>
    <t>该建筑所具备的发展power值</t>
  </si>
  <si>
    <t>基地等级限制</t>
  </si>
  <si>
    <t>科技等级限制，格式：科技ID*科技等级</t>
  </si>
  <si>
    <t>玩家等级限制，到达该等级后才可建造</t>
  </si>
  <si>
    <t>能否拆除</t>
  </si>
  <si>
    <t>默认建筑的位置</t>
  </si>
  <si>
    <t>调用的挂点索引id</t>
  </si>
  <si>
    <t>建筑buff列，格式：属性id*属性取值（id来源：attribute_define）</t>
  </si>
  <si>
    <t>建筑列表排序列</t>
  </si>
  <si>
    <t>建筑调用的图标文件名</t>
  </si>
  <si>
    <t>id</t>
  </si>
  <si>
    <t>building_name</t>
  </si>
  <si>
    <t>level</t>
  </si>
  <si>
    <t>type_id</t>
  </si>
  <si>
    <t>intro</t>
  </si>
  <si>
    <t>model_id</t>
  </si>
  <si>
    <t>time</t>
  </si>
  <si>
    <t>scrap</t>
  </si>
  <si>
    <t>metal</t>
  </si>
  <si>
    <t>oil</t>
  </si>
  <si>
    <t>items</t>
  </si>
  <si>
    <t>pay_resource</t>
  </si>
  <si>
    <t>exp</t>
  </si>
  <si>
    <t>power</t>
  </si>
  <si>
    <t>hc_level</t>
  </si>
  <si>
    <t>techs</t>
  </si>
  <si>
    <t>player_level</t>
  </si>
  <si>
    <t>is_default</t>
  </si>
  <si>
    <t>default_position</t>
  </si>
  <si>
    <t>hang_id</t>
  </si>
  <si>
    <t>building_buff</t>
  </si>
  <si>
    <t>building_sortoder</t>
  </si>
  <si>
    <t>icon_filename</t>
  </si>
  <si>
    <t>string</t>
  </si>
  <si>
    <t>s-2-item_id-qty[]</t>
  </si>
  <si>
    <t>s-2-tech_id-level[]</t>
  </si>
  <si>
    <t>s-2-attr_id-value[]</t>
  </si>
  <si>
    <t>c</t>
  </si>
  <si>
    <t>建造、升级资源建筑物将每级给予主线任务的奖励，前期以junk为主，后期以oil为主</t>
    <phoneticPr fontId="2" type="noConversion"/>
  </si>
  <si>
    <t>level</t>
    <phoneticPr fontId="2" type="noConversion"/>
  </si>
  <si>
    <t>resource needed</t>
    <phoneticPr fontId="2" type="noConversion"/>
  </si>
  <si>
    <t>junk</t>
    <phoneticPr fontId="2" type="noConversion"/>
  </si>
  <si>
    <t>oil</t>
    <phoneticPr fontId="2" type="noConversion"/>
  </si>
  <si>
    <t>metal</t>
    <phoneticPr fontId="2" type="noConversion"/>
  </si>
  <si>
    <t>junk-collector</t>
    <phoneticPr fontId="2" type="noConversion"/>
  </si>
  <si>
    <t>metal-collector</t>
    <phoneticPr fontId="2" type="noConversion"/>
  </si>
  <si>
    <t>oil-collector</t>
    <phoneticPr fontId="2" type="noConversion"/>
  </si>
  <si>
    <r>
      <t>d</t>
    </r>
    <r>
      <rPr>
        <sz val="11"/>
        <color indexed="8"/>
        <rFont val="Arial Unicode MS"/>
        <family val="2"/>
        <charset val="134"/>
      </rPr>
      <t>ismantle</t>
    </r>
  </si>
  <si>
    <r>
      <t>i</t>
    </r>
    <r>
      <rPr>
        <sz val="11"/>
        <color indexed="8"/>
        <rFont val="Arial Unicode MS"/>
        <family val="2"/>
        <charset val="134"/>
      </rPr>
      <t>nt</t>
    </r>
  </si>
  <si>
    <r>
      <t>c</t>
    </r>
    <r>
      <rPr>
        <sz val="11"/>
        <color indexed="8"/>
        <rFont val="Arial Unicode MS"/>
        <family val="2"/>
        <charset val="134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</si>
</sst>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#,##0_ ;[Red]\-#,##0\ "/>
    <numFmt numFmtId="177" formatCode="0_ "/>
    <numFmt numFmtId="178" formatCode="h:mm:ss;@"/>
    <numFmt numFmtId="179" formatCode="0.0%"/>
  </numFmts>
  <fonts count="3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Calibri"/>
      <family val="2"/>
    </font>
    <font>
      <sz val="10"/>
      <color rgb="FF222222"/>
      <name val="Arial"/>
      <family val="2"/>
    </font>
    <font>
      <sz val="7"/>
      <color rgb="FF222222"/>
      <name val="Times New Roman"/>
      <family val="1"/>
    </font>
    <font>
      <b/>
      <sz val="10"/>
      <color rgb="FF222222"/>
      <name val="微软雅黑"/>
      <family val="2"/>
      <charset val="134"/>
    </font>
    <font>
      <b/>
      <sz val="10"/>
      <color rgb="FF222222"/>
      <name val="宋体"/>
      <family val="3"/>
      <charset val="134"/>
    </font>
    <font>
      <sz val="10"/>
      <color rgb="FF222222"/>
      <name val="微软雅黑"/>
      <family val="2"/>
      <charset val="134"/>
    </font>
    <font>
      <u/>
      <sz val="10"/>
      <color rgb="FF222222"/>
      <name val="微软雅黑"/>
      <family val="2"/>
      <charset val="134"/>
    </font>
    <font>
      <sz val="10"/>
      <color rgb="FF222222"/>
      <name val="宋体"/>
      <family val="3"/>
      <charset val="134"/>
    </font>
    <font>
      <u/>
      <sz val="10"/>
      <color rgb="FF222222"/>
      <name val="Arial"/>
      <family val="2"/>
    </font>
    <font>
      <b/>
      <sz val="9"/>
      <color rgb="FF000000"/>
      <name val="Arial Unicode MS"/>
      <family val="2"/>
      <charset val="134"/>
    </font>
    <font>
      <sz val="9"/>
      <color rgb="FF000000"/>
      <name val="Arial Unicode MS"/>
      <family val="2"/>
      <charset val="134"/>
    </font>
    <font>
      <b/>
      <sz val="10"/>
      <color rgb="FF222222"/>
      <name val="Arial"/>
      <family val="2"/>
    </font>
    <font>
      <sz val="10"/>
      <color rgb="FF000000"/>
      <name val="Arial Unicode MS"/>
      <family val="2"/>
      <charset val="134"/>
    </font>
    <font>
      <sz val="11"/>
      <color theme="1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2"/>
      <color theme="1"/>
      <name val="Arial Unicode MS"/>
      <family val="2"/>
      <charset val="134"/>
    </font>
    <font>
      <sz val="9"/>
      <color rgb="FF00B0F0"/>
      <name val="Arial Unicode MS"/>
      <family val="2"/>
      <charset val="134"/>
    </font>
    <font>
      <sz val="9"/>
      <color rgb="FFFF0000"/>
      <name val="Arial Unicode MS"/>
      <family val="2"/>
      <charset val="134"/>
    </font>
    <font>
      <sz val="9"/>
      <color rgb="FF00B050"/>
      <name val="Arial Unicode MS"/>
      <family val="2"/>
      <charset val="134"/>
    </font>
    <font>
      <sz val="11"/>
      <name val="Arial Unicode MS"/>
      <family val="2"/>
      <charset val="134"/>
    </font>
    <font>
      <b/>
      <i/>
      <sz val="11"/>
      <color theme="1"/>
      <name val="Microsoft YaHei UI"/>
      <family val="2"/>
    </font>
    <font>
      <sz val="11"/>
      <color theme="1"/>
      <name val="Microsoft YaHei UI"/>
      <family val="2"/>
    </font>
    <font>
      <b/>
      <sz val="11"/>
      <color theme="0"/>
      <name val="Microsoft YaHei UI"/>
      <family val="2"/>
    </font>
    <font>
      <sz val="11"/>
      <color rgb="FF000000"/>
      <name val="宋体"/>
      <family val="2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Arial Unicode MS"/>
      <family val="2"/>
      <charset val="134"/>
    </font>
    <font>
      <sz val="11"/>
      <color indexed="8"/>
      <name val="Arial Unicode MS"/>
      <family val="2"/>
      <charset val="134"/>
    </font>
    <font>
      <sz val="11"/>
      <color theme="1"/>
      <name val="宋体"/>
      <charset val="134"/>
      <scheme val="minor"/>
    </font>
    <font>
      <sz val="10"/>
      <color rgb="FF222222"/>
      <name val="Arial Unicode MS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7" fillId="0" borderId="0">
      <alignment vertical="center"/>
    </xf>
  </cellStyleXfs>
  <cellXfs count="197">
    <xf numFmtId="0" fontId="0" fillId="0" borderId="0" xfId="0">
      <alignment vertical="center"/>
    </xf>
    <xf numFmtId="0" fontId="4" fillId="5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right" vertical="center" wrapText="1"/>
    </xf>
    <xf numFmtId="176" fontId="5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Border="1" applyAlignment="1">
      <alignment horizontal="right" vertical="center" wrapText="1"/>
    </xf>
    <xf numFmtId="176" fontId="5" fillId="0" borderId="0" xfId="0" applyNumberFormat="1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5" fillId="6" borderId="13" xfId="0" applyNumberFormat="1" applyFont="1" applyFill="1" applyBorder="1" applyAlignment="1">
      <alignment horizontal="center" vertical="center" wrapText="1"/>
    </xf>
    <xf numFmtId="176" fontId="5" fillId="6" borderId="10" xfId="0" applyNumberFormat="1" applyFont="1" applyFill="1" applyBorder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176" fontId="5" fillId="7" borderId="7" xfId="0" applyNumberFormat="1" applyFont="1" applyFill="1" applyBorder="1" applyAlignment="1">
      <alignment horizontal="center" vertical="center" wrapText="1"/>
    </xf>
    <xf numFmtId="176" fontId="5" fillId="7" borderId="10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  <xf numFmtId="9" fontId="5" fillId="0" borderId="15" xfId="0" applyNumberFormat="1" applyFont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right" vertical="center" wrapText="1"/>
    </xf>
    <xf numFmtId="176" fontId="5" fillId="0" borderId="6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6" xfId="0" applyNumberFormat="1" applyFont="1" applyBorder="1" applyAlignment="1">
      <alignment horizontal="left" vertical="center" wrapText="1"/>
    </xf>
    <xf numFmtId="46" fontId="5" fillId="0" borderId="6" xfId="0" applyNumberFormat="1" applyFont="1" applyBorder="1" applyAlignment="1">
      <alignment horizontal="right" vertical="center" wrapText="1"/>
    </xf>
    <xf numFmtId="176" fontId="5" fillId="0" borderId="0" xfId="0" applyNumberFormat="1" applyFont="1" applyFill="1" applyBorder="1" applyAlignment="1">
      <alignment horizontal="right" vertical="center" wrapText="1"/>
    </xf>
    <xf numFmtId="176" fontId="5" fillId="0" borderId="6" xfId="0" applyNumberFormat="1" applyFont="1" applyFill="1" applyBorder="1" applyAlignment="1">
      <alignment horizontal="right" vertical="center" wrapText="1"/>
    </xf>
    <xf numFmtId="176" fontId="5" fillId="0" borderId="0" xfId="0" applyNumberFormat="1" applyFont="1" applyFill="1" applyAlignment="1">
      <alignment horizontal="right" vertical="center" wrapText="1"/>
    </xf>
    <xf numFmtId="176" fontId="5" fillId="0" borderId="11" xfId="0" applyNumberFormat="1" applyFont="1" applyBorder="1" applyAlignment="1">
      <alignment horizontal="left" vertical="center" wrapText="1"/>
    </xf>
    <xf numFmtId="176" fontId="5" fillId="0" borderId="0" xfId="0" applyNumberFormat="1" applyFont="1" applyBorder="1" applyAlignment="1">
      <alignment horizontal="left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46" fontId="5" fillId="0" borderId="0" xfId="0" applyNumberFormat="1" applyFont="1" applyBorder="1" applyAlignment="1">
      <alignment horizontal="right" vertical="center" wrapText="1"/>
    </xf>
    <xf numFmtId="46" fontId="5" fillId="0" borderId="12" xfId="0" applyNumberFormat="1" applyFont="1" applyBorder="1" applyAlignment="1">
      <alignment horizontal="right" vertical="center" wrapText="1"/>
    </xf>
    <xf numFmtId="176" fontId="5" fillId="0" borderId="15" xfId="0" applyNumberFormat="1" applyFont="1" applyBorder="1" applyAlignment="1">
      <alignment horizontal="right" vertical="center" wrapText="1"/>
    </xf>
    <xf numFmtId="176" fontId="5" fillId="0" borderId="12" xfId="0" applyNumberFormat="1" applyFont="1" applyFill="1" applyBorder="1" applyAlignment="1">
      <alignment horizontal="right" vertical="center" wrapText="1"/>
    </xf>
    <xf numFmtId="176" fontId="5" fillId="0" borderId="15" xfId="0" applyNumberFormat="1" applyFont="1" applyFill="1" applyBorder="1" applyAlignment="1">
      <alignment horizontal="right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right" vertical="center" wrapText="1"/>
    </xf>
    <xf numFmtId="176" fontId="5" fillId="0" borderId="14" xfId="0" applyNumberFormat="1" applyFont="1" applyBorder="1" applyAlignment="1">
      <alignment horizontal="left" vertical="center" wrapText="1"/>
    </xf>
    <xf numFmtId="46" fontId="5" fillId="0" borderId="15" xfId="0" applyNumberFormat="1" applyFont="1" applyBorder="1" applyAlignment="1">
      <alignment horizontal="right" vertical="center" wrapText="1"/>
    </xf>
    <xf numFmtId="176" fontId="5" fillId="0" borderId="11" xfId="0" applyNumberFormat="1" applyFont="1" applyBorder="1" applyAlignment="1">
      <alignment horizontal="right" vertical="center" wrapText="1"/>
    </xf>
    <xf numFmtId="9" fontId="5" fillId="0" borderId="6" xfId="0" applyNumberFormat="1" applyFont="1" applyBorder="1" applyAlignment="1">
      <alignment horizontal="right" vertical="center" wrapText="1"/>
    </xf>
    <xf numFmtId="176" fontId="5" fillId="0" borderId="12" xfId="0" applyNumberFormat="1" applyFont="1" applyBorder="1" applyAlignment="1">
      <alignment horizontal="left" vertical="center" wrapText="1"/>
    </xf>
    <xf numFmtId="9" fontId="5" fillId="0" borderId="15" xfId="0" applyNumberFormat="1" applyFont="1" applyBorder="1" applyAlignment="1">
      <alignment horizontal="right" vertical="center" wrapText="1"/>
    </xf>
    <xf numFmtId="176" fontId="5" fillId="0" borderId="17" xfId="0" applyNumberFormat="1" applyFont="1" applyBorder="1" applyAlignment="1">
      <alignment horizontal="right" vertical="center" wrapText="1"/>
    </xf>
    <xf numFmtId="176" fontId="5" fillId="0" borderId="11" xfId="0" applyNumberFormat="1" applyFont="1" applyFill="1" applyBorder="1" applyAlignment="1">
      <alignment horizontal="right" vertical="center" wrapText="1"/>
    </xf>
    <xf numFmtId="177" fontId="5" fillId="0" borderId="15" xfId="0" applyNumberFormat="1" applyFont="1" applyBorder="1" applyAlignment="1">
      <alignment horizontal="right" vertical="center" wrapText="1"/>
    </xf>
    <xf numFmtId="9" fontId="5" fillId="0" borderId="18" xfId="0" applyNumberFormat="1" applyFont="1" applyBorder="1" applyAlignment="1">
      <alignment horizontal="right" vertical="center" wrapText="1"/>
    </xf>
    <xf numFmtId="9" fontId="5" fillId="0" borderId="17" xfId="0" applyNumberFormat="1" applyFont="1" applyBorder="1" applyAlignment="1">
      <alignment horizontal="left" vertical="center" wrapText="1"/>
    </xf>
    <xf numFmtId="9" fontId="5" fillId="0" borderId="0" xfId="0" applyNumberFormat="1" applyFont="1" applyBorder="1" applyAlignment="1">
      <alignment horizontal="left" vertical="center" wrapText="1"/>
    </xf>
    <xf numFmtId="9" fontId="5" fillId="0" borderId="12" xfId="0" applyNumberFormat="1" applyFont="1" applyBorder="1" applyAlignment="1">
      <alignment horizontal="left" vertical="center" wrapText="1"/>
    </xf>
    <xf numFmtId="9" fontId="5" fillId="0" borderId="0" xfId="1" applyFont="1" applyAlignment="1">
      <alignment horizontal="right" vertical="center" wrapText="1"/>
    </xf>
    <xf numFmtId="1" fontId="4" fillId="0" borderId="0" xfId="0" applyNumberFormat="1" applyFont="1" applyAlignment="1">
      <alignment vertical="center" wrapText="1"/>
    </xf>
    <xf numFmtId="0" fontId="4" fillId="5" borderId="19" xfId="0" applyFont="1" applyFill="1" applyBorder="1" applyAlignment="1">
      <alignment vertical="center" wrapText="1"/>
    </xf>
    <xf numFmtId="0" fontId="4" fillId="5" borderId="20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2" fontId="4" fillId="0" borderId="0" xfId="0" applyNumberFormat="1" applyFont="1" applyBorder="1" applyAlignment="1">
      <alignment vertical="center" wrapText="1"/>
    </xf>
    <xf numFmtId="1" fontId="4" fillId="0" borderId="0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9" fontId="4" fillId="0" borderId="0" xfId="1" applyFont="1" applyBorder="1" applyAlignment="1">
      <alignment vertical="center" wrapText="1"/>
    </xf>
    <xf numFmtId="0" fontId="7" fillId="5" borderId="22" xfId="0" applyFont="1" applyFill="1" applyBorder="1" applyAlignment="1">
      <alignment vertical="center" wrapText="1"/>
    </xf>
    <xf numFmtId="9" fontId="4" fillId="0" borderId="5" xfId="1" applyFont="1" applyBorder="1" applyAlignment="1">
      <alignment vertical="center" wrapText="1"/>
    </xf>
    <xf numFmtId="178" fontId="4" fillId="0" borderId="0" xfId="0" applyNumberFormat="1" applyFont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11" borderId="3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4" fillId="11" borderId="22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wrapText="1"/>
    </xf>
    <xf numFmtId="1" fontId="4" fillId="11" borderId="22" xfId="0" applyNumberFormat="1" applyFont="1" applyFill="1" applyBorder="1" applyAlignment="1">
      <alignment vertical="center" wrapText="1"/>
    </xf>
    <xf numFmtId="1" fontId="4" fillId="11" borderId="1" xfId="0" applyNumberFormat="1" applyFont="1" applyFill="1" applyBorder="1" applyAlignment="1">
      <alignment vertical="center" wrapText="1"/>
    </xf>
    <xf numFmtId="1" fontId="4" fillId="0" borderId="5" xfId="0" applyNumberFormat="1" applyFont="1" applyBorder="1" applyAlignment="1">
      <alignment vertical="center" wrapText="1"/>
    </xf>
    <xf numFmtId="0" fontId="4" fillId="0" borderId="0" xfId="0" applyFont="1">
      <alignment vertical="center"/>
    </xf>
    <xf numFmtId="0" fontId="7" fillId="5" borderId="0" xfId="0" applyFont="1" applyFill="1">
      <alignment vertical="center"/>
    </xf>
    <xf numFmtId="9" fontId="4" fillId="0" borderId="0" xfId="0" applyNumberFormat="1" applyFont="1">
      <alignment vertical="center"/>
    </xf>
    <xf numFmtId="0" fontId="4" fillId="9" borderId="0" xfId="0" applyFont="1" applyFill="1">
      <alignment vertical="center"/>
    </xf>
    <xf numFmtId="9" fontId="4" fillId="9" borderId="0" xfId="0" applyNumberFormat="1" applyFont="1" applyFill="1">
      <alignment vertical="center"/>
    </xf>
    <xf numFmtId="0" fontId="4" fillId="0" borderId="0" xfId="0" applyFont="1" applyAlignment="1">
      <alignment horizontal="right" vertical="center"/>
    </xf>
    <xf numFmtId="1" fontId="4" fillId="0" borderId="21" xfId="0" applyNumberFormat="1" applyFont="1" applyBorder="1" applyAlignment="1">
      <alignment vertical="center" wrapText="1"/>
    </xf>
    <xf numFmtId="9" fontId="4" fillId="11" borderId="3" xfId="1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8" fillId="0" borderId="0" xfId="0" applyFont="1">
      <alignment vertical="center"/>
    </xf>
    <xf numFmtId="0" fontId="1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4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10" borderId="0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28" fillId="5" borderId="0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  <xf numFmtId="0" fontId="25" fillId="3" borderId="0" xfId="0" applyFont="1" applyFill="1" applyBorder="1" applyAlignment="1">
      <alignment horizontal="center" vertical="center"/>
    </xf>
    <xf numFmtId="0" fontId="26" fillId="3" borderId="0" xfId="0" applyFont="1" applyFill="1" applyBorder="1" applyAlignment="1">
      <alignment horizontal="center" vertical="center"/>
    </xf>
    <xf numFmtId="0" fontId="27" fillId="3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/>
    </xf>
    <xf numFmtId="0" fontId="30" fillId="0" borderId="0" xfId="0" applyFont="1" applyAlignment="1"/>
    <xf numFmtId="0" fontId="31" fillId="8" borderId="0" xfId="0" applyFont="1" applyFill="1" applyAlignment="1">
      <alignment horizontal="center"/>
    </xf>
    <xf numFmtId="0" fontId="30" fillId="0" borderId="0" xfId="0" applyFont="1" applyBorder="1" applyAlignment="1"/>
    <xf numFmtId="9" fontId="30" fillId="0" borderId="0" xfId="0" applyNumberFormat="1" applyFont="1" applyBorder="1" applyAlignment="1"/>
    <xf numFmtId="0" fontId="30" fillId="0" borderId="0" xfId="0" applyFont="1" applyBorder="1" applyAlignment="1">
      <alignment horizontal="center"/>
    </xf>
    <xf numFmtId="0" fontId="30" fillId="9" borderId="0" xfId="0" applyFont="1" applyFill="1" applyAlignment="1">
      <alignment horizontal="center"/>
    </xf>
    <xf numFmtId="0" fontId="30" fillId="9" borderId="0" xfId="0" applyFont="1" applyFill="1" applyAlignment="1"/>
    <xf numFmtId="9" fontId="30" fillId="9" borderId="0" xfId="0" applyNumberFormat="1" applyFont="1" applyFill="1" applyAlignment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7" fillId="0" borderId="25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7" fillId="0" borderId="25" xfId="0" applyFont="1" applyBorder="1">
      <alignment vertical="center"/>
    </xf>
    <xf numFmtId="0" fontId="21" fillId="0" borderId="26" xfId="0" applyFont="1" applyBorder="1">
      <alignment vertical="center"/>
    </xf>
    <xf numFmtId="9" fontId="4" fillId="12" borderId="0" xfId="1" applyFont="1" applyFill="1" applyBorder="1">
      <alignment vertical="center"/>
    </xf>
    <xf numFmtId="0" fontId="17" fillId="5" borderId="0" xfId="0" applyFont="1" applyFill="1" applyBorder="1">
      <alignment vertical="center"/>
    </xf>
    <xf numFmtId="0" fontId="18" fillId="0" borderId="0" xfId="0" applyFont="1" applyBorder="1">
      <alignment vertical="center"/>
    </xf>
    <xf numFmtId="0" fontId="18" fillId="0" borderId="0" xfId="0" applyFont="1" applyBorder="1" applyAlignment="1">
      <alignment horizontal="right" vertical="center"/>
    </xf>
    <xf numFmtId="0" fontId="20" fillId="5" borderId="0" xfId="0" applyFont="1" applyFill="1" applyBorder="1">
      <alignment vertical="center"/>
    </xf>
    <xf numFmtId="0" fontId="20" fillId="0" borderId="0" xfId="0" applyFont="1" applyBorder="1">
      <alignment vertical="center"/>
    </xf>
    <xf numFmtId="9" fontId="20" fillId="0" borderId="0" xfId="0" applyNumberFormat="1" applyFont="1" applyBorder="1" applyAlignment="1">
      <alignment horizontal="right" vertical="center"/>
    </xf>
    <xf numFmtId="0" fontId="18" fillId="5" borderId="0" xfId="0" applyFont="1" applyFill="1" applyBorder="1">
      <alignment vertical="center"/>
    </xf>
    <xf numFmtId="9" fontId="18" fillId="0" borderId="0" xfId="0" applyNumberFormat="1" applyFont="1" applyBorder="1" applyAlignment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0" fontId="4" fillId="5" borderId="27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9" fontId="4" fillId="0" borderId="3" xfId="1" applyFont="1" applyBorder="1" applyAlignment="1">
      <alignment vertical="center" wrapText="1"/>
    </xf>
    <xf numFmtId="10" fontId="4" fillId="0" borderId="5" xfId="0" applyNumberFormat="1" applyFont="1" applyBorder="1" applyAlignment="1">
      <alignment vertical="center" wrapText="1"/>
    </xf>
    <xf numFmtId="10" fontId="4" fillId="0" borderId="3" xfId="0" applyNumberFormat="1" applyFont="1" applyBorder="1" applyAlignment="1">
      <alignment vertical="center" wrapText="1"/>
    </xf>
    <xf numFmtId="179" fontId="4" fillId="0" borderId="5" xfId="1" applyNumberFormat="1" applyFont="1" applyBorder="1" applyAlignment="1">
      <alignment vertical="center" wrapText="1"/>
    </xf>
    <xf numFmtId="0" fontId="32" fillId="13" borderId="0" xfId="2" applyFont="1" applyFill="1">
      <alignment vertical="center"/>
    </xf>
    <xf numFmtId="0" fontId="32" fillId="13" borderId="0" xfId="0" applyFont="1" applyFill="1">
      <alignment vertical="center"/>
    </xf>
    <xf numFmtId="0" fontId="0" fillId="13" borderId="0" xfId="0" applyFont="1" applyFill="1">
      <alignment vertical="center"/>
    </xf>
    <xf numFmtId="0" fontId="1" fillId="14" borderId="0" xfId="2" applyFont="1" applyFill="1">
      <alignment vertical="center"/>
    </xf>
    <xf numFmtId="0" fontId="34" fillId="14" borderId="0" xfId="0" applyFont="1" applyFill="1">
      <alignment vertical="center"/>
    </xf>
    <xf numFmtId="0" fontId="0" fillId="14" borderId="0" xfId="0" applyFont="1" applyFill="1">
      <alignment vertical="center"/>
    </xf>
    <xf numFmtId="0" fontId="1" fillId="14" borderId="0" xfId="2" applyFill="1">
      <alignment vertical="center"/>
    </xf>
    <xf numFmtId="0" fontId="0" fillId="14" borderId="0" xfId="0" applyFill="1">
      <alignment vertical="center"/>
    </xf>
    <xf numFmtId="9" fontId="4" fillId="4" borderId="0" xfId="1" applyFont="1" applyFill="1" applyBorder="1">
      <alignment vertical="center"/>
    </xf>
    <xf numFmtId="9" fontId="7" fillId="0" borderId="0" xfId="1" applyFont="1" applyBorder="1">
      <alignment vertical="center"/>
    </xf>
    <xf numFmtId="0" fontId="35" fillId="13" borderId="0" xfId="2" applyFont="1" applyFill="1">
      <alignment vertical="center"/>
    </xf>
    <xf numFmtId="0" fontId="35" fillId="13" borderId="0" xfId="0" applyFont="1" applyFill="1">
      <alignment vertical="center"/>
    </xf>
    <xf numFmtId="0" fontId="4" fillId="13" borderId="0" xfId="0" applyFont="1" applyFill="1">
      <alignment vertical="center"/>
    </xf>
    <xf numFmtId="0" fontId="4" fillId="14" borderId="0" xfId="2" applyFont="1" applyFill="1">
      <alignment vertical="center"/>
    </xf>
    <xf numFmtId="0" fontId="4" fillId="14" borderId="0" xfId="0" applyFont="1" applyFill="1">
      <alignment vertical="center"/>
    </xf>
    <xf numFmtId="0" fontId="4" fillId="0" borderId="0" xfId="2" applyFont="1" applyFill="1">
      <alignment vertical="center"/>
    </xf>
    <xf numFmtId="0" fontId="4" fillId="0" borderId="0" xfId="0" applyFont="1" applyFill="1">
      <alignment vertical="center"/>
    </xf>
    <xf numFmtId="0" fontId="4" fillId="0" borderId="0" xfId="2" applyFont="1" applyFill="1" applyAlignment="1"/>
    <xf numFmtId="0" fontId="4" fillId="0" borderId="0" xfId="0" applyFont="1" applyFill="1" applyAlignment="1"/>
    <xf numFmtId="0" fontId="4" fillId="0" borderId="0" xfId="2" applyFont="1">
      <alignment vertical="center"/>
    </xf>
    <xf numFmtId="9" fontId="4" fillId="0" borderId="0" xfId="1" applyFont="1">
      <alignment vertical="center"/>
    </xf>
    <xf numFmtId="1" fontId="4" fillId="0" borderId="0" xfId="0" applyNumberFormat="1" applyFont="1">
      <alignment vertical="center"/>
    </xf>
    <xf numFmtId="179" fontId="4" fillId="0" borderId="0" xfId="1" applyNumberFormat="1" applyFont="1">
      <alignment vertical="center"/>
    </xf>
    <xf numFmtId="0" fontId="4" fillId="5" borderId="0" xfId="0" applyFont="1" applyFill="1">
      <alignment vertical="center"/>
    </xf>
    <xf numFmtId="0" fontId="4" fillId="13" borderId="0" xfId="3" applyFont="1" applyFill="1">
      <alignment vertical="center"/>
    </xf>
    <xf numFmtId="0" fontId="35" fillId="13" borderId="0" xfId="3" applyFont="1" applyFill="1">
      <alignment vertical="center"/>
    </xf>
    <xf numFmtId="0" fontId="4" fillId="14" borderId="0" xfId="3" applyFont="1" applyFill="1">
      <alignment vertical="center"/>
    </xf>
    <xf numFmtId="0" fontId="4" fillId="0" borderId="0" xfId="3" applyFont="1" applyFill="1">
      <alignment vertical="center"/>
    </xf>
    <xf numFmtId="0" fontId="4" fillId="0" borderId="0" xfId="3" applyFont="1">
      <alignment vertical="center"/>
    </xf>
    <xf numFmtId="1" fontId="4" fillId="0" borderId="0" xfId="3" applyNumberFormat="1" applyFont="1" applyFill="1">
      <alignment vertical="center"/>
    </xf>
    <xf numFmtId="0" fontId="38" fillId="0" borderId="0" xfId="3" applyFont="1">
      <alignment vertical="center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10" borderId="23" xfId="0" applyFont="1" applyFill="1" applyBorder="1" applyAlignment="1">
      <alignment horizontal="center" vertical="center" wrapText="1"/>
    </xf>
    <xf numFmtId="0" fontId="24" fillId="10" borderId="24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22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1" fillId="8" borderId="0" xfId="0" applyFont="1" applyFill="1" applyAlignment="1">
      <alignment horizontal="center"/>
    </xf>
    <xf numFmtId="0" fontId="30" fillId="0" borderId="0" xfId="0" applyFont="1" applyBorder="1" applyAlignment="1">
      <alignment horizontal="center" vertical="center"/>
    </xf>
    <xf numFmtId="176" fontId="5" fillId="7" borderId="8" xfId="0" applyNumberFormat="1" applyFont="1" applyFill="1" applyBorder="1" applyAlignment="1">
      <alignment horizontal="center" vertical="center" wrapText="1"/>
    </xf>
    <xf numFmtId="176" fontId="5" fillId="7" borderId="9" xfId="0" applyNumberFormat="1" applyFont="1" applyFill="1" applyBorder="1" applyAlignment="1">
      <alignment horizontal="center" vertical="center" wrapText="1"/>
    </xf>
    <xf numFmtId="176" fontId="5" fillId="7" borderId="1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46" fontId="5" fillId="0" borderId="0" xfId="0" applyNumberFormat="1" applyFont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6" borderId="7" xfId="0" applyNumberFormat="1" applyFont="1" applyFill="1" applyBorder="1" applyAlignment="1">
      <alignment horizontal="center" vertical="center" wrapText="1"/>
    </xf>
    <xf numFmtId="176" fontId="5" fillId="0" borderId="12" xfId="0" applyNumberFormat="1" applyFont="1" applyBorder="1" applyAlignment="1">
      <alignment horizontal="center" vertical="center" wrapText="1"/>
    </xf>
    <xf numFmtId="176" fontId="5" fillId="0" borderId="11" xfId="0" applyNumberFormat="1" applyFont="1" applyBorder="1" applyAlignment="1">
      <alignment horizontal="center" vertical="center" wrapText="1"/>
    </xf>
    <xf numFmtId="176" fontId="5" fillId="0" borderId="0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 wrapText="1"/>
    </xf>
    <xf numFmtId="176" fontId="5" fillId="0" borderId="15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2"/>
    <cellStyle name="Normal 3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'gow data'!$W$88:$W$108</c:f>
              <c:numCache>
                <c:formatCode>#,##0_ ;[Red]\-#,##0\ </c:formatCode>
                <c:ptCount val="21"/>
                <c:pt idx="0">
                  <c:v>2000</c:v>
                </c:pt>
                <c:pt idx="1">
                  <c:v>6000</c:v>
                </c:pt>
                <c:pt idx="2">
                  <c:v>12000</c:v>
                </c:pt>
                <c:pt idx="3">
                  <c:v>20000</c:v>
                </c:pt>
                <c:pt idx="4">
                  <c:v>30000</c:v>
                </c:pt>
                <c:pt idx="5">
                  <c:v>42000</c:v>
                </c:pt>
                <c:pt idx="6">
                  <c:v>70000</c:v>
                </c:pt>
                <c:pt idx="7">
                  <c:v>102000</c:v>
                </c:pt>
                <c:pt idx="8">
                  <c:v>138000</c:v>
                </c:pt>
                <c:pt idx="9">
                  <c:v>178000</c:v>
                </c:pt>
                <c:pt idx="10">
                  <c:v>222000</c:v>
                </c:pt>
                <c:pt idx="11">
                  <c:v>270000</c:v>
                </c:pt>
                <c:pt idx="12">
                  <c:v>322000</c:v>
                </c:pt>
                <c:pt idx="13">
                  <c:v>406000</c:v>
                </c:pt>
                <c:pt idx="14">
                  <c:v>496000</c:v>
                </c:pt>
                <c:pt idx="15">
                  <c:v>592000</c:v>
                </c:pt>
                <c:pt idx="16">
                  <c:v>694000</c:v>
                </c:pt>
                <c:pt idx="17">
                  <c:v>802000</c:v>
                </c:pt>
                <c:pt idx="18">
                  <c:v>916000</c:v>
                </c:pt>
                <c:pt idx="19">
                  <c:v>1036000</c:v>
                </c:pt>
                <c:pt idx="20">
                  <c:v>1204000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44992"/>
        <c:axId val="183149472"/>
      </c:scatterChart>
      <c:valAx>
        <c:axId val="18314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49472"/>
        <c:crosses val="autoZero"/>
        <c:crossBetween val="midCat"/>
      </c:valAx>
      <c:valAx>
        <c:axId val="18314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;[Red]\-#,##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314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457200</xdr:colOff>
      <xdr:row>94</xdr:row>
      <xdr:rowOff>157162</xdr:rowOff>
    </xdr:from>
    <xdr:to>
      <xdr:col>15</xdr:col>
      <xdr:colOff>76200</xdr:colOff>
      <xdr:row>109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H30" sqref="H30"/>
    </sheetView>
  </sheetViews>
  <sheetFormatPr defaultRowHeight="13.5" x14ac:dyDescent="0.15"/>
  <cols>
    <col min="1" max="1" width="12.25" customWidth="1"/>
  </cols>
  <sheetData>
    <row r="1" spans="1:3" ht="16.5" x14ac:dyDescent="0.15">
      <c r="A1" s="88" t="s">
        <v>613</v>
      </c>
    </row>
    <row r="2" spans="1:3" ht="16.5" x14ac:dyDescent="0.15">
      <c r="A2" s="85" t="s">
        <v>537</v>
      </c>
    </row>
    <row r="3" spans="1:3" ht="16.5" x14ac:dyDescent="0.15">
      <c r="A3" s="85" t="s">
        <v>538</v>
      </c>
    </row>
    <row r="4" spans="1:3" ht="16.5" x14ac:dyDescent="0.15">
      <c r="A4" s="85" t="s">
        <v>539</v>
      </c>
    </row>
    <row r="5" spans="1:3" x14ac:dyDescent="0.15">
      <c r="A5" s="84"/>
    </row>
    <row r="6" spans="1:3" ht="16.5" x14ac:dyDescent="0.15">
      <c r="A6" s="88" t="s">
        <v>574</v>
      </c>
    </row>
    <row r="7" spans="1:3" ht="16.5" x14ac:dyDescent="0.15">
      <c r="A7" s="85" t="s">
        <v>605</v>
      </c>
    </row>
    <row r="8" spans="1:3" x14ac:dyDescent="0.15">
      <c r="A8" s="123" t="s">
        <v>540</v>
      </c>
      <c r="B8" s="123" t="s">
        <v>541</v>
      </c>
      <c r="C8" s="123" t="s">
        <v>542</v>
      </c>
    </row>
    <row r="9" spans="1:3" x14ac:dyDescent="0.15">
      <c r="A9" s="124" t="s">
        <v>543</v>
      </c>
      <c r="B9" s="125" t="s">
        <v>544</v>
      </c>
      <c r="C9" s="125">
        <v>0.5</v>
      </c>
    </row>
    <row r="10" spans="1:3" x14ac:dyDescent="0.15">
      <c r="A10" s="124" t="s">
        <v>545</v>
      </c>
      <c r="B10" s="125">
        <v>1</v>
      </c>
      <c r="C10" s="125">
        <v>0.8</v>
      </c>
    </row>
    <row r="11" spans="1:3" x14ac:dyDescent="0.15">
      <c r="A11" s="124" t="s">
        <v>546</v>
      </c>
      <c r="B11" s="125">
        <v>1</v>
      </c>
      <c r="C11" s="125">
        <v>1</v>
      </c>
    </row>
    <row r="12" spans="1:3" x14ac:dyDescent="0.15">
      <c r="A12" s="124" t="s">
        <v>547</v>
      </c>
      <c r="B12" s="125">
        <v>1</v>
      </c>
      <c r="C12" s="125">
        <v>1.5</v>
      </c>
    </row>
    <row r="13" spans="1:3" x14ac:dyDescent="0.15">
      <c r="A13" s="124" t="s">
        <v>543</v>
      </c>
      <c r="B13" s="125" t="s">
        <v>548</v>
      </c>
      <c r="C13" s="125">
        <v>2</v>
      </c>
    </row>
    <row r="14" spans="1:3" x14ac:dyDescent="0.15">
      <c r="A14" s="124" t="s">
        <v>549</v>
      </c>
      <c r="B14" s="125">
        <v>1</v>
      </c>
      <c r="C14" s="125">
        <v>3</v>
      </c>
    </row>
    <row r="15" spans="1:3" x14ac:dyDescent="0.15">
      <c r="A15" s="124" t="s">
        <v>550</v>
      </c>
      <c r="B15" s="125">
        <v>1</v>
      </c>
      <c r="C15" s="125">
        <v>4</v>
      </c>
    </row>
    <row r="16" spans="1:3" x14ac:dyDescent="0.15">
      <c r="A16" s="124" t="s">
        <v>551</v>
      </c>
      <c r="B16" s="125">
        <v>2</v>
      </c>
      <c r="C16" s="125">
        <v>7</v>
      </c>
    </row>
    <row r="17" spans="1:5" x14ac:dyDescent="0.15">
      <c r="A17" s="124" t="s">
        <v>552</v>
      </c>
      <c r="B17" s="125">
        <v>2</v>
      </c>
      <c r="C17" s="125">
        <v>7</v>
      </c>
    </row>
    <row r="18" spans="1:5" x14ac:dyDescent="0.15">
      <c r="A18" s="124" t="s">
        <v>547</v>
      </c>
      <c r="B18" s="125">
        <v>2</v>
      </c>
      <c r="C18" s="125">
        <v>10</v>
      </c>
    </row>
    <row r="19" spans="1:5" x14ac:dyDescent="0.15">
      <c r="A19" s="124" t="s">
        <v>549</v>
      </c>
      <c r="B19" s="125">
        <v>2</v>
      </c>
      <c r="C19" s="125">
        <v>14</v>
      </c>
    </row>
    <row r="20" spans="1:5" x14ac:dyDescent="0.15">
      <c r="A20" s="124" t="s">
        <v>553</v>
      </c>
      <c r="B20" s="125">
        <v>2</v>
      </c>
      <c r="C20" s="125">
        <v>14</v>
      </c>
    </row>
    <row r="21" spans="1:5" x14ac:dyDescent="0.15">
      <c r="A21" s="124" t="s">
        <v>552</v>
      </c>
      <c r="B21" s="125">
        <v>3</v>
      </c>
      <c r="C21" s="125">
        <v>21</v>
      </c>
    </row>
    <row r="22" spans="1:5" x14ac:dyDescent="0.15">
      <c r="A22" s="124" t="s">
        <v>551</v>
      </c>
      <c r="B22" s="125">
        <v>3</v>
      </c>
      <c r="C22" s="125">
        <v>30</v>
      </c>
    </row>
    <row r="23" spans="1:5" x14ac:dyDescent="0.15">
      <c r="A23" s="124" t="s">
        <v>547</v>
      </c>
      <c r="B23" s="125">
        <v>3</v>
      </c>
      <c r="C23" s="125">
        <v>40</v>
      </c>
    </row>
    <row r="24" spans="1:5" x14ac:dyDescent="0.15">
      <c r="A24" s="124" t="s">
        <v>553</v>
      </c>
      <c r="B24" s="125">
        <v>3</v>
      </c>
      <c r="C24" s="125">
        <v>45</v>
      </c>
    </row>
    <row r="25" spans="1:5" x14ac:dyDescent="0.15">
      <c r="A25" s="124" t="s">
        <v>552</v>
      </c>
      <c r="B25" s="125">
        <v>4</v>
      </c>
      <c r="C25" s="125">
        <v>60</v>
      </c>
    </row>
    <row r="26" spans="1:5" x14ac:dyDescent="0.15">
      <c r="A26" s="124" t="s">
        <v>551</v>
      </c>
      <c r="B26" s="125">
        <v>4</v>
      </c>
      <c r="C26" s="125">
        <v>90</v>
      </c>
    </row>
    <row r="27" spans="1:5" x14ac:dyDescent="0.15">
      <c r="A27" s="124" t="s">
        <v>551</v>
      </c>
      <c r="B27" s="125">
        <v>5</v>
      </c>
      <c r="C27" s="125">
        <v>150</v>
      </c>
    </row>
    <row r="28" spans="1:5" x14ac:dyDescent="0.15">
      <c r="A28" s="84"/>
    </row>
    <row r="29" spans="1:5" ht="16.5" x14ac:dyDescent="0.15">
      <c r="A29" s="87" t="s">
        <v>575</v>
      </c>
    </row>
    <row r="30" spans="1:5" ht="16.5" x14ac:dyDescent="0.15">
      <c r="A30" s="85" t="s">
        <v>554</v>
      </c>
    </row>
    <row r="31" spans="1:5" ht="15" x14ac:dyDescent="0.15">
      <c r="A31" s="126" t="s">
        <v>555</v>
      </c>
      <c r="B31" s="126" t="s">
        <v>556</v>
      </c>
      <c r="C31" s="126" t="s">
        <v>557</v>
      </c>
      <c r="D31" s="126" t="s">
        <v>558</v>
      </c>
      <c r="E31" s="126" t="s">
        <v>559</v>
      </c>
    </row>
    <row r="32" spans="1:5" ht="15" x14ac:dyDescent="0.15">
      <c r="A32" s="127" t="s">
        <v>560</v>
      </c>
      <c r="B32" s="127" t="s">
        <v>9</v>
      </c>
      <c r="C32" s="128">
        <v>0.05</v>
      </c>
      <c r="D32" s="128">
        <v>0.4</v>
      </c>
      <c r="E32" s="128">
        <v>0.4</v>
      </c>
    </row>
    <row r="33" spans="1:5" ht="15" x14ac:dyDescent="0.15">
      <c r="A33" s="127" t="s">
        <v>561</v>
      </c>
      <c r="B33" s="127" t="s">
        <v>9</v>
      </c>
      <c r="C33" s="128">
        <v>0.25</v>
      </c>
      <c r="D33" s="128">
        <v>0.25</v>
      </c>
      <c r="E33" s="128">
        <v>0.2</v>
      </c>
    </row>
    <row r="34" spans="1:5" ht="15" x14ac:dyDescent="0.15">
      <c r="A34" s="127" t="s">
        <v>562</v>
      </c>
      <c r="B34" s="127" t="s">
        <v>9</v>
      </c>
      <c r="C34" s="128">
        <v>0.6</v>
      </c>
      <c r="D34" s="128">
        <v>0.15</v>
      </c>
      <c r="E34" s="128">
        <v>0.1</v>
      </c>
    </row>
    <row r="35" spans="1:5" ht="15" x14ac:dyDescent="0.15">
      <c r="A35" s="127" t="s">
        <v>563</v>
      </c>
      <c r="B35" s="127" t="s">
        <v>10</v>
      </c>
      <c r="C35" s="128">
        <v>0.05</v>
      </c>
      <c r="D35" s="128">
        <v>0.15</v>
      </c>
      <c r="E35" s="128">
        <v>0.25</v>
      </c>
    </row>
    <row r="36" spans="1:5" ht="15" x14ac:dyDescent="0.15">
      <c r="A36" s="127" t="s">
        <v>564</v>
      </c>
      <c r="B36" s="127" t="s">
        <v>10</v>
      </c>
      <c r="C36" s="128">
        <v>0.05</v>
      </c>
      <c r="D36" s="128">
        <v>0.05</v>
      </c>
      <c r="E36" s="128">
        <v>0.05</v>
      </c>
    </row>
    <row r="37" spans="1:5" ht="15" x14ac:dyDescent="0.15">
      <c r="A37" s="127" t="s">
        <v>565</v>
      </c>
      <c r="B37" s="127"/>
      <c r="C37" s="128">
        <v>1</v>
      </c>
      <c r="D37" s="128">
        <v>1</v>
      </c>
      <c r="E37" s="128">
        <v>1</v>
      </c>
    </row>
    <row r="38" spans="1:5" ht="16.5" x14ac:dyDescent="0.15">
      <c r="A38" s="85" t="s">
        <v>566</v>
      </c>
    </row>
    <row r="39" spans="1:5" x14ac:dyDescent="0.15">
      <c r="A39" s="129" t="s">
        <v>555</v>
      </c>
      <c r="B39" s="129" t="s">
        <v>567</v>
      </c>
      <c r="C39" s="129" t="s">
        <v>557</v>
      </c>
      <c r="D39" s="129" t="s">
        <v>558</v>
      </c>
      <c r="E39" s="129" t="s">
        <v>559</v>
      </c>
    </row>
    <row r="40" spans="1:5" x14ac:dyDescent="0.15">
      <c r="A40" s="124" t="s">
        <v>568</v>
      </c>
      <c r="B40" s="124" t="s">
        <v>9</v>
      </c>
      <c r="C40" s="130">
        <v>0.55000000000000004</v>
      </c>
      <c r="D40" s="130">
        <v>0.3</v>
      </c>
      <c r="E40" s="130">
        <v>0.25</v>
      </c>
    </row>
    <row r="41" spans="1:5" x14ac:dyDescent="0.15">
      <c r="A41" s="124" t="s">
        <v>569</v>
      </c>
      <c r="B41" s="124" t="s">
        <v>9</v>
      </c>
      <c r="C41" s="130">
        <v>0.3</v>
      </c>
      <c r="D41" s="130">
        <v>0.35</v>
      </c>
      <c r="E41" s="130">
        <v>0.05</v>
      </c>
    </row>
    <row r="42" spans="1:5" x14ac:dyDescent="0.15">
      <c r="A42" s="124" t="s">
        <v>570</v>
      </c>
      <c r="B42" s="124" t="s">
        <v>9</v>
      </c>
      <c r="C42" s="130">
        <v>0.03</v>
      </c>
      <c r="D42" s="130">
        <v>0.05</v>
      </c>
      <c r="E42" s="130">
        <v>0.15</v>
      </c>
    </row>
    <row r="43" spans="1:5" x14ac:dyDescent="0.15">
      <c r="A43" s="124" t="s">
        <v>571</v>
      </c>
      <c r="B43" s="124" t="s">
        <v>9</v>
      </c>
      <c r="C43" s="130">
        <v>0.05</v>
      </c>
      <c r="D43" s="130">
        <v>0.05</v>
      </c>
      <c r="E43" s="130">
        <v>0.1</v>
      </c>
    </row>
    <row r="44" spans="1:5" x14ac:dyDescent="0.15">
      <c r="A44" s="124" t="s">
        <v>572</v>
      </c>
      <c r="B44" s="124" t="s">
        <v>9</v>
      </c>
      <c r="C44" s="130">
        <v>0.02</v>
      </c>
      <c r="D44" s="130">
        <v>0.1</v>
      </c>
      <c r="E44" s="130">
        <v>0.15</v>
      </c>
    </row>
    <row r="45" spans="1:5" x14ac:dyDescent="0.15">
      <c r="A45" s="124" t="s">
        <v>573</v>
      </c>
      <c r="B45" s="124" t="s">
        <v>10</v>
      </c>
      <c r="C45" s="130">
        <v>0</v>
      </c>
      <c r="D45" s="130">
        <v>0.1</v>
      </c>
      <c r="E45" s="130">
        <v>0.25</v>
      </c>
    </row>
    <row r="46" spans="1:5" x14ac:dyDescent="0.15">
      <c r="A46" s="124" t="s">
        <v>564</v>
      </c>
      <c r="B46" s="124" t="s">
        <v>10</v>
      </c>
      <c r="C46" s="130">
        <v>0.05</v>
      </c>
      <c r="D46" s="130">
        <v>0.05</v>
      </c>
      <c r="E46" s="130">
        <v>0.05</v>
      </c>
    </row>
    <row r="47" spans="1:5" x14ac:dyDescent="0.15">
      <c r="A47" s="124" t="s">
        <v>565</v>
      </c>
      <c r="B47" s="124"/>
      <c r="C47" s="130">
        <v>1</v>
      </c>
      <c r="D47" s="130">
        <v>1</v>
      </c>
      <c r="E47" s="130">
        <v>1</v>
      </c>
    </row>
    <row r="48" spans="1:5" ht="15" x14ac:dyDescent="0.15">
      <c r="A48" s="86"/>
    </row>
    <row r="49" spans="1:5" x14ac:dyDescent="0.15">
      <c r="A49" s="87" t="s">
        <v>606</v>
      </c>
      <c r="B49" s="87"/>
      <c r="C49" s="87"/>
      <c r="D49" s="87"/>
      <c r="E49" s="87"/>
    </row>
    <row r="50" spans="1:5" ht="14.25" x14ac:dyDescent="0.15">
      <c r="A50" s="89" t="s">
        <v>614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workbookViewId="0">
      <selection activeCell="F16" sqref="F16"/>
    </sheetView>
  </sheetViews>
  <sheetFormatPr defaultRowHeight="16.5" x14ac:dyDescent="0.15"/>
  <cols>
    <col min="1" max="1" width="72.75" style="102" customWidth="1"/>
    <col min="2" max="16384" width="9" style="102"/>
  </cols>
  <sheetData>
    <row r="1" spans="1:1" ht="13.5" customHeight="1" x14ac:dyDescent="0.15">
      <c r="A1" s="170" t="s">
        <v>583</v>
      </c>
    </row>
    <row r="2" spans="1:1" x14ac:dyDescent="0.15">
      <c r="A2" s="171"/>
    </row>
    <row r="3" spans="1:1" x14ac:dyDescent="0.15">
      <c r="A3" s="171"/>
    </row>
    <row r="4" spans="1:1" x14ac:dyDescent="0.15">
      <c r="A4" s="171"/>
    </row>
    <row r="5" spans="1:1" x14ac:dyDescent="0.15">
      <c r="A5" s="115"/>
    </row>
    <row r="6" spans="1:1" x14ac:dyDescent="0.15">
      <c r="A6" s="171" t="s">
        <v>615</v>
      </c>
    </row>
    <row r="7" spans="1:1" x14ac:dyDescent="0.15">
      <c r="A7" s="171"/>
    </row>
    <row r="8" spans="1:1" x14ac:dyDescent="0.15">
      <c r="A8" s="115"/>
    </row>
    <row r="9" spans="1:1" x14ac:dyDescent="0.15">
      <c r="A9" s="171" t="s">
        <v>584</v>
      </c>
    </row>
    <row r="10" spans="1:1" x14ac:dyDescent="0.15">
      <c r="A10" s="171"/>
    </row>
    <row r="11" spans="1:1" x14ac:dyDescent="0.15">
      <c r="A11" s="171"/>
    </row>
    <row r="12" spans="1:1" x14ac:dyDescent="0.15">
      <c r="A12" s="171"/>
    </row>
    <row r="13" spans="1:1" x14ac:dyDescent="0.15">
      <c r="A13" s="171"/>
    </row>
    <row r="14" spans="1:1" x14ac:dyDescent="0.15">
      <c r="A14" s="171"/>
    </row>
    <row r="15" spans="1:1" x14ac:dyDescent="0.15">
      <c r="A15" s="171"/>
    </row>
    <row r="16" spans="1:1" x14ac:dyDescent="0.15">
      <c r="A16" s="171"/>
    </row>
    <row r="17" spans="1:1" ht="106.5" customHeight="1" x14ac:dyDescent="0.15">
      <c r="A17" s="172"/>
    </row>
    <row r="19" spans="1:1" x14ac:dyDescent="0.15">
      <c r="A19" s="131" t="s">
        <v>620</v>
      </c>
    </row>
    <row r="21" spans="1:1" x14ac:dyDescent="0.15">
      <c r="A21" s="114" t="s">
        <v>611</v>
      </c>
    </row>
    <row r="22" spans="1:1" x14ac:dyDescent="0.15">
      <c r="A22" s="116" t="s">
        <v>612</v>
      </c>
    </row>
    <row r="24" spans="1:1" x14ac:dyDescent="0.15">
      <c r="A24" s="114" t="s">
        <v>587</v>
      </c>
    </row>
    <row r="25" spans="1:1" x14ac:dyDescent="0.15">
      <c r="A25" s="115"/>
    </row>
    <row r="26" spans="1:1" x14ac:dyDescent="0.15">
      <c r="A26" s="115" t="s">
        <v>588</v>
      </c>
    </row>
    <row r="27" spans="1:1" x14ac:dyDescent="0.15">
      <c r="A27" s="115"/>
    </row>
    <row r="28" spans="1:1" ht="33" x14ac:dyDescent="0.15">
      <c r="A28" s="116" t="s">
        <v>654</v>
      </c>
    </row>
    <row r="30" spans="1:1" ht="33" x14ac:dyDescent="0.15">
      <c r="A30" s="131" t="s">
        <v>616</v>
      </c>
    </row>
    <row r="32" spans="1:1" x14ac:dyDescent="0.15">
      <c r="A32" s="131" t="s">
        <v>710</v>
      </c>
    </row>
  </sheetData>
  <mergeCells count="3">
    <mergeCell ref="A1:A4"/>
    <mergeCell ref="A6:A7"/>
    <mergeCell ref="A9:A1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A17" sqref="A17"/>
    </sheetView>
  </sheetViews>
  <sheetFormatPr defaultRowHeight="16.5" x14ac:dyDescent="0.15"/>
  <cols>
    <col min="1" max="1" width="85.375" style="2" customWidth="1"/>
    <col min="2" max="16384" width="9" style="2"/>
  </cols>
  <sheetData>
    <row r="1" spans="1:1" x14ac:dyDescent="0.15">
      <c r="A1" s="117" t="s">
        <v>576</v>
      </c>
    </row>
    <row r="2" spans="1:1" x14ac:dyDescent="0.15">
      <c r="A2" s="118"/>
    </row>
    <row r="3" spans="1:1" ht="49.5" x14ac:dyDescent="0.15">
      <c r="A3" s="119" t="s">
        <v>577</v>
      </c>
    </row>
    <row r="5" spans="1:1" x14ac:dyDescent="0.15">
      <c r="A5" s="120" t="s">
        <v>578</v>
      </c>
    </row>
    <row r="6" spans="1:1" x14ac:dyDescent="0.15">
      <c r="A6" s="118"/>
    </row>
    <row r="7" spans="1:1" ht="66" x14ac:dyDescent="0.15">
      <c r="A7" s="119" t="s">
        <v>604</v>
      </c>
    </row>
    <row r="8" spans="1:1" x14ac:dyDescent="0.15">
      <c r="A8" s="76"/>
    </row>
    <row r="9" spans="1:1" x14ac:dyDescent="0.15">
      <c r="A9" s="120" t="s">
        <v>579</v>
      </c>
    </row>
    <row r="10" spans="1:1" x14ac:dyDescent="0.15">
      <c r="A10" s="121"/>
    </row>
    <row r="11" spans="1:1" ht="33" x14ac:dyDescent="0.15">
      <c r="A11" s="119" t="s">
        <v>580</v>
      </c>
    </row>
    <row r="13" spans="1:1" x14ac:dyDescent="0.15">
      <c r="A13" s="117" t="s">
        <v>582</v>
      </c>
    </row>
    <row r="14" spans="1:1" x14ac:dyDescent="0.15">
      <c r="A14" s="118"/>
    </row>
    <row r="15" spans="1:1" ht="115.5" x14ac:dyDescent="0.15">
      <c r="A15" s="119" t="s">
        <v>581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1"/>
  <sheetViews>
    <sheetView workbookViewId="0">
      <selection activeCell="L3" sqref="L3:L27"/>
    </sheetView>
  </sheetViews>
  <sheetFormatPr defaultRowHeight="16.5" x14ac:dyDescent="0.15"/>
  <cols>
    <col min="1" max="1" width="7.875" style="2" customWidth="1"/>
    <col min="2" max="2" width="6.625" style="2" customWidth="1"/>
    <col min="3" max="3" width="7.875" style="2" hidden="1" customWidth="1"/>
    <col min="4" max="4" width="6.5" style="2" hidden="1" customWidth="1"/>
    <col min="5" max="5" width="6.125" style="2" hidden="1" customWidth="1"/>
    <col min="6" max="6" width="7.5" style="2" hidden="1" customWidth="1"/>
    <col min="7" max="7" width="8.75" style="2" hidden="1" customWidth="1"/>
    <col min="8" max="8" width="9.75" style="2" hidden="1" customWidth="1"/>
    <col min="9" max="9" width="8.75" style="2" hidden="1" customWidth="1"/>
    <col min="10" max="10" width="9.125" style="2" customWidth="1"/>
    <col min="11" max="11" width="14.375" style="2" customWidth="1"/>
    <col min="12" max="12" width="8.75" style="2" bestFit="1" customWidth="1"/>
    <col min="13" max="13" width="11" style="2" customWidth="1"/>
    <col min="14" max="14" width="11" style="2" hidden="1" customWidth="1"/>
    <col min="15" max="15" width="11" style="2" customWidth="1"/>
    <col min="16" max="16" width="9.5" style="2" bestFit="1" customWidth="1"/>
    <col min="17" max="17" width="13.75" style="2" customWidth="1"/>
    <col min="18" max="18" width="10.5" style="2" bestFit="1" customWidth="1"/>
    <col min="19" max="19" width="10.125" style="2" customWidth="1"/>
    <col min="20" max="20" width="8.75" style="2" bestFit="1" customWidth="1"/>
    <col min="21" max="21" width="8.625" style="2" customWidth="1"/>
    <col min="22" max="22" width="9.5" style="2" bestFit="1" customWidth="1"/>
    <col min="23" max="23" width="15.625" style="2" bestFit="1" customWidth="1"/>
    <col min="24" max="24" width="10.875" style="2" customWidth="1"/>
    <col min="25" max="25" width="12.875" style="2" bestFit="1" customWidth="1"/>
    <col min="26" max="27" width="12.875" style="2" customWidth="1"/>
    <col min="28" max="28" width="9" style="2" customWidth="1"/>
    <col min="29" max="29" width="11.375" style="2" customWidth="1"/>
    <col min="30" max="30" width="12.25" style="2" bestFit="1" customWidth="1"/>
    <col min="31" max="31" width="12.25" style="2" customWidth="1"/>
    <col min="32" max="32" width="11.625" style="2" customWidth="1"/>
    <col min="33" max="33" width="11.125" style="2" customWidth="1"/>
    <col min="34" max="34" width="10.125" style="2" customWidth="1"/>
    <col min="35" max="16384" width="9" style="2"/>
  </cols>
  <sheetData>
    <row r="1" spans="1:33" s="93" customFormat="1" ht="27" customHeight="1" thickBot="1" x14ac:dyDescent="0.2">
      <c r="A1" s="90"/>
      <c r="B1" s="91"/>
      <c r="C1" s="173" t="s">
        <v>516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92"/>
      <c r="O1" s="92"/>
      <c r="P1" s="174" t="s">
        <v>519</v>
      </c>
      <c r="Q1" s="175"/>
      <c r="R1" s="175"/>
      <c r="S1" s="175"/>
      <c r="T1" s="175"/>
      <c r="U1" s="175"/>
      <c r="V1" s="176" t="s">
        <v>520</v>
      </c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8"/>
    </row>
    <row r="2" spans="1:33" s="1" customFormat="1" ht="49.5" x14ac:dyDescent="0.15">
      <c r="A2" s="56" t="s">
        <v>1</v>
      </c>
      <c r="B2" s="58" t="s">
        <v>511</v>
      </c>
      <c r="C2" s="57"/>
      <c r="D2" s="57" t="s">
        <v>3</v>
      </c>
      <c r="E2" s="57" t="s">
        <v>2</v>
      </c>
      <c r="F2" s="57" t="s">
        <v>0</v>
      </c>
      <c r="G2" s="57" t="s">
        <v>512</v>
      </c>
      <c r="H2" s="57" t="s">
        <v>623</v>
      </c>
      <c r="I2" s="57" t="s">
        <v>610</v>
      </c>
      <c r="J2" s="56" t="s">
        <v>607</v>
      </c>
      <c r="K2" s="57" t="s">
        <v>513</v>
      </c>
      <c r="L2" s="57" t="s">
        <v>515</v>
      </c>
      <c r="M2" s="57" t="s">
        <v>517</v>
      </c>
      <c r="N2" s="57" t="s">
        <v>608</v>
      </c>
      <c r="O2" s="57" t="s">
        <v>518</v>
      </c>
      <c r="P2" s="56" t="s">
        <v>607</v>
      </c>
      <c r="Q2" s="57" t="s">
        <v>513</v>
      </c>
      <c r="R2" s="57" t="s">
        <v>515</v>
      </c>
      <c r="S2" s="57" t="s">
        <v>517</v>
      </c>
      <c r="T2" s="57" t="s">
        <v>608</v>
      </c>
      <c r="U2" s="57" t="s">
        <v>518</v>
      </c>
      <c r="V2" s="56" t="s">
        <v>607</v>
      </c>
      <c r="W2" s="57" t="s">
        <v>513</v>
      </c>
      <c r="X2" s="57" t="s">
        <v>515</v>
      </c>
      <c r="Y2" s="57" t="s">
        <v>517</v>
      </c>
      <c r="Z2" s="57" t="s">
        <v>608</v>
      </c>
      <c r="AA2" s="57" t="s">
        <v>619</v>
      </c>
      <c r="AB2" s="57" t="s">
        <v>518</v>
      </c>
      <c r="AC2" s="58" t="s">
        <v>510</v>
      </c>
      <c r="AD2" s="56" t="s">
        <v>521</v>
      </c>
      <c r="AE2" s="57" t="s">
        <v>618</v>
      </c>
      <c r="AF2" s="57" t="s">
        <v>585</v>
      </c>
      <c r="AG2" s="58" t="s">
        <v>522</v>
      </c>
    </row>
    <row r="3" spans="1:33" x14ac:dyDescent="0.3">
      <c r="A3" s="59">
        <v>1</v>
      </c>
      <c r="B3" s="66">
        <v>10</v>
      </c>
      <c r="C3" s="60">
        <v>0</v>
      </c>
      <c r="D3" s="60">
        <f>SUM($C$3:C3)</f>
        <v>0</v>
      </c>
      <c r="E3" s="61">
        <f t="shared" ref="E3:E27" si="0">F3/60</f>
        <v>1.6666666666666666E-2</v>
      </c>
      <c r="F3" s="61">
        <f t="shared" ref="F3:F27" si="1">EXP(D3)</f>
        <v>1</v>
      </c>
      <c r="G3" s="62">
        <f t="shared" ref="G3:G27" si="2">F3*60</f>
        <v>60</v>
      </c>
      <c r="H3" s="62">
        <f>G3*'Research Enhancing'!C2</f>
        <v>60.6</v>
      </c>
      <c r="I3" s="62">
        <v>50</v>
      </c>
      <c r="J3" s="68">
        <v>60</v>
      </c>
      <c r="K3" s="63" t="str">
        <f t="shared" ref="K3:K22" si="3">IF(INT(J3/3600/24)=0,"",INT(J3/3600/24)&amp;"D")&amp;IF(INT(MOD(J3,3600*24)/3600)=0,"",INT(MOD(J3,3600*24)/3600)&amp;"H")&amp;IF(INT(MOD(J3,3600)/60)=0,"",INT(MOD(J3,3600)/60)&amp;"M")&amp;IF(MOD(J3,60)=0,"",INT(MOD(J3,60))&amp;"S")</f>
        <v>1M</v>
      </c>
      <c r="L3" s="62">
        <v>1000</v>
      </c>
      <c r="M3" s="60">
        <f t="shared" ref="M3:M27" si="4">ROUND(0*A3*A3+120*A3,0)</f>
        <v>120</v>
      </c>
      <c r="N3" s="60">
        <f t="shared" ref="N3:N27" si="5">I3*M3</f>
        <v>6000</v>
      </c>
      <c r="O3" s="62">
        <f>U3/3</f>
        <v>12983.1</v>
      </c>
      <c r="P3" s="68">
        <f t="shared" ref="P3:P27" si="6">J3*13</f>
        <v>780</v>
      </c>
      <c r="Q3" s="63" t="str">
        <f t="shared" ref="Q3:Q22" si="7">IF(INT(P3/3600/24)=0,"",INT(P3/3600/24)&amp;"D")&amp;IF(INT(MOD(P3,3600*24)/3600)=0,"",INT(MOD(P3,3600*24)/3600)&amp;"H")&amp;IF(INT(MOD(P3,3600)/60)=0,"",INT(MOD(P3,3600)/60)&amp;"M")&amp;IF(MOD(P3,60)=0,"",INT(MOD(P3,60))&amp;"S")</f>
        <v>13M</v>
      </c>
      <c r="R3" s="62">
        <f t="shared" ref="R3:R27" si="8">L3*13</f>
        <v>13000</v>
      </c>
      <c r="S3" s="60">
        <f t="shared" ref="S3:S27" si="9">M3*13</f>
        <v>1560</v>
      </c>
      <c r="T3" s="60">
        <f>N3*13</f>
        <v>78000</v>
      </c>
      <c r="U3" s="62">
        <f>AB3*'reward percentage'!$B$3</f>
        <v>38949.300000000003</v>
      </c>
      <c r="V3" s="68">
        <f t="shared" ref="V3:V27" si="10">P3*1.5</f>
        <v>1170</v>
      </c>
      <c r="W3" s="63" t="str">
        <f t="shared" ref="W3:W22" si="11">IF(INT(V3/3600/24)=0,"",INT(V3/3600/24)&amp;"D")&amp;IF(INT(MOD(V3,3600*24)/3600)=0,"",INT(MOD(V3,3600*24)/3600)&amp;"H")&amp;IF(INT(MOD(V3,3600)/60)=0,"",INT(MOD(V3,3600)/60)&amp;"M")&amp;IF(MOD(V3,60)=0,"",INT(MOD(V3,60))&amp;"S")</f>
        <v>19M30S</v>
      </c>
      <c r="X3" s="62">
        <f>R3*3</f>
        <v>39000</v>
      </c>
      <c r="Y3" s="60">
        <f>S3</f>
        <v>1560</v>
      </c>
      <c r="Z3" s="60">
        <f>T3</f>
        <v>78000</v>
      </c>
      <c r="AA3" s="62">
        <v>156000</v>
      </c>
      <c r="AB3" s="62">
        <f>AC3-AD3</f>
        <v>389493</v>
      </c>
      <c r="AC3" s="75">
        <f t="shared" ref="AC3:AC27" si="12">X3*B3</f>
        <v>390000</v>
      </c>
      <c r="AD3" s="82">
        <f>Y3*V3/3600</f>
        <v>507</v>
      </c>
      <c r="AE3" s="64">
        <f>AA3/Z3</f>
        <v>2</v>
      </c>
      <c r="AF3" s="64">
        <v>10</v>
      </c>
      <c r="AG3" s="66">
        <f>AD3/X3</f>
        <v>1.2999999999999999E-2</v>
      </c>
    </row>
    <row r="4" spans="1:33" x14ac:dyDescent="0.3">
      <c r="A4" s="59">
        <v>2</v>
      </c>
      <c r="B4" s="66">
        <f t="shared" ref="B4:B11" si="13">EXP($S$40*($A$12-A4))</f>
        <v>7.7426368268112711</v>
      </c>
      <c r="C4" s="60">
        <v>0.32800000000000001</v>
      </c>
      <c r="D4" s="60">
        <f>SUM($C$3:C4)</f>
        <v>0.32800000000000001</v>
      </c>
      <c r="E4" s="61">
        <f t="shared" si="0"/>
        <v>2.313648287149021E-2</v>
      </c>
      <c r="F4" s="61">
        <f t="shared" si="1"/>
        <v>1.3881889722894125</v>
      </c>
      <c r="G4" s="62">
        <f t="shared" si="2"/>
        <v>83.291338337364749</v>
      </c>
      <c r="H4" s="62">
        <f>G4*'Research Enhancing'!C3</f>
        <v>84.1242517207384</v>
      </c>
      <c r="I4" s="62">
        <v>51</v>
      </c>
      <c r="J4" s="68">
        <v>80</v>
      </c>
      <c r="K4" s="63" t="str">
        <f t="shared" si="3"/>
        <v>1M20S</v>
      </c>
      <c r="L4" s="62">
        <f>J4*1000/60</f>
        <v>1333.3333333333333</v>
      </c>
      <c r="M4" s="60">
        <f t="shared" si="4"/>
        <v>240</v>
      </c>
      <c r="N4" s="60">
        <f t="shared" si="5"/>
        <v>12240</v>
      </c>
      <c r="O4" s="62">
        <f t="shared" ref="O4:O27" si="14">U4/3</f>
        <v>13386.770499806204</v>
      </c>
      <c r="P4" s="68">
        <f t="shared" si="6"/>
        <v>1040</v>
      </c>
      <c r="Q4" s="63" t="str">
        <f t="shared" si="7"/>
        <v>17M20S</v>
      </c>
      <c r="R4" s="62">
        <f t="shared" si="8"/>
        <v>17333.333333333332</v>
      </c>
      <c r="S4" s="60">
        <f t="shared" si="9"/>
        <v>3120</v>
      </c>
      <c r="T4" s="60">
        <f t="shared" ref="T4:T27" si="15">N4*13</f>
        <v>159120</v>
      </c>
      <c r="U4" s="62">
        <f>AB4*'reward percentage'!$B$3</f>
        <v>40160.311499418611</v>
      </c>
      <c r="V4" s="68">
        <f t="shared" si="10"/>
        <v>1560</v>
      </c>
      <c r="W4" s="63" t="str">
        <f t="shared" si="11"/>
        <v>26M</v>
      </c>
      <c r="X4" s="62">
        <f t="shared" ref="X4:X28" si="16">R4*3</f>
        <v>52000</v>
      </c>
      <c r="Y4" s="60">
        <f t="shared" ref="Y4:Y27" si="17">S4</f>
        <v>3120</v>
      </c>
      <c r="Z4" s="60">
        <f t="shared" ref="Z4:Z27" si="18">T4</f>
        <v>159120</v>
      </c>
      <c r="AA4" s="62">
        <f>AA3+29575</f>
        <v>185575</v>
      </c>
      <c r="AB4" s="62">
        <f t="shared" ref="AB4:AB27" si="19">AC4-AD4</f>
        <v>401603.11499418609</v>
      </c>
      <c r="AC4" s="75">
        <f t="shared" si="12"/>
        <v>402617.11499418609</v>
      </c>
      <c r="AD4" s="82">
        <f>(Y4+Y3)/2*V4/3600</f>
        <v>1014</v>
      </c>
      <c r="AE4" s="64">
        <f t="shared" ref="AE4:AE27" si="20">AA4/Z4</f>
        <v>1.1662581699346406</v>
      </c>
      <c r="AF4" s="64">
        <v>7.7426368268112711</v>
      </c>
      <c r="AG4" s="66">
        <f t="shared" ref="AG4:AG27" si="21">AD4/X4</f>
        <v>1.95E-2</v>
      </c>
    </row>
    <row r="5" spans="1:33" x14ac:dyDescent="0.3">
      <c r="A5" s="59">
        <v>3</v>
      </c>
      <c r="B5" s="66">
        <f t="shared" si="13"/>
        <v>5.9948425031894104</v>
      </c>
      <c r="C5" s="60">
        <v>0.32800000000000001</v>
      </c>
      <c r="D5" s="60">
        <f>SUM($C$3:C5)</f>
        <v>0.65600000000000003</v>
      </c>
      <c r="E5" s="61">
        <f t="shared" si="0"/>
        <v>3.2117810379765584E-2</v>
      </c>
      <c r="F5" s="61">
        <f t="shared" si="1"/>
        <v>1.927068622785935</v>
      </c>
      <c r="G5" s="62">
        <f t="shared" si="2"/>
        <v>115.6241173671561</v>
      </c>
      <c r="H5" s="62">
        <f>G5*'Research Enhancing'!C4</f>
        <v>116.78035854082766</v>
      </c>
      <c r="I5" s="62">
        <v>52</v>
      </c>
      <c r="J5" s="68">
        <v>120</v>
      </c>
      <c r="K5" s="63" t="str">
        <f t="shared" si="3"/>
        <v>2M</v>
      </c>
      <c r="L5" s="62">
        <f t="shared" ref="L5:L27" si="22">J5*1000/60</f>
        <v>2000</v>
      </c>
      <c r="M5" s="60">
        <f t="shared" si="4"/>
        <v>360</v>
      </c>
      <c r="N5" s="60">
        <f t="shared" si="5"/>
        <v>18720</v>
      </c>
      <c r="O5" s="62">
        <f t="shared" si="14"/>
        <v>15502.090508292467</v>
      </c>
      <c r="P5" s="68">
        <f t="shared" si="6"/>
        <v>1560</v>
      </c>
      <c r="Q5" s="63" t="str">
        <f t="shared" si="7"/>
        <v>26M</v>
      </c>
      <c r="R5" s="62">
        <f t="shared" si="8"/>
        <v>26000</v>
      </c>
      <c r="S5" s="60">
        <f t="shared" si="9"/>
        <v>4680</v>
      </c>
      <c r="T5" s="60">
        <f t="shared" si="15"/>
        <v>243360</v>
      </c>
      <c r="U5" s="62">
        <f>AB5*'reward percentage'!$B$3</f>
        <v>46506.271524877404</v>
      </c>
      <c r="V5" s="68">
        <f t="shared" si="10"/>
        <v>2340</v>
      </c>
      <c r="W5" s="63" t="str">
        <f t="shared" si="11"/>
        <v>39M</v>
      </c>
      <c r="X5" s="62">
        <f t="shared" si="16"/>
        <v>78000</v>
      </c>
      <c r="Y5" s="60">
        <f t="shared" si="17"/>
        <v>4680</v>
      </c>
      <c r="Z5" s="60">
        <f t="shared" si="18"/>
        <v>243360</v>
      </c>
      <c r="AA5" s="62">
        <f t="shared" ref="AA5:AA26" si="23">AA4+29575</f>
        <v>215150</v>
      </c>
      <c r="AB5" s="62">
        <f t="shared" si="19"/>
        <v>465062.71524877398</v>
      </c>
      <c r="AC5" s="75">
        <f t="shared" si="12"/>
        <v>467597.71524877398</v>
      </c>
      <c r="AD5" s="82">
        <f t="shared" ref="AD5:AD27" si="24">(Y5+Y4)/2*V5/3600</f>
        <v>2535</v>
      </c>
      <c r="AE5" s="64">
        <f t="shared" si="20"/>
        <v>0.88408119658119655</v>
      </c>
      <c r="AF5" s="64">
        <v>5.9948425031894104</v>
      </c>
      <c r="AG5" s="66">
        <f t="shared" si="21"/>
        <v>3.2500000000000001E-2</v>
      </c>
    </row>
    <row r="6" spans="1:33" x14ac:dyDescent="0.3">
      <c r="A6" s="59">
        <v>4</v>
      </c>
      <c r="B6" s="66">
        <f t="shared" si="13"/>
        <v>4.6415888336127793</v>
      </c>
      <c r="C6" s="60">
        <v>0.32800000000000001</v>
      </c>
      <c r="D6" s="60">
        <f>SUM($C$3:C6)</f>
        <v>0.98399999999999999</v>
      </c>
      <c r="E6" s="61">
        <f t="shared" si="0"/>
        <v>4.4585590183273009E-2</v>
      </c>
      <c r="F6" s="61">
        <f t="shared" si="1"/>
        <v>2.6751354109963805</v>
      </c>
      <c r="G6" s="62">
        <f t="shared" si="2"/>
        <v>160.50812465978282</v>
      </c>
      <c r="H6" s="62">
        <f>G6*'Research Enhancing'!C5</f>
        <v>163.71828715297849</v>
      </c>
      <c r="I6" s="62">
        <v>53</v>
      </c>
      <c r="J6" s="68">
        <v>160</v>
      </c>
      <c r="K6" s="63" t="str">
        <f t="shared" si="3"/>
        <v>2M40S</v>
      </c>
      <c r="L6" s="62">
        <f t="shared" si="22"/>
        <v>2666.6666666666665</v>
      </c>
      <c r="M6" s="60">
        <f t="shared" si="4"/>
        <v>480</v>
      </c>
      <c r="N6" s="60">
        <f t="shared" si="5"/>
        <v>25440</v>
      </c>
      <c r="O6" s="62">
        <f t="shared" si="14"/>
        <v>15933.107956524304</v>
      </c>
      <c r="P6" s="68">
        <f t="shared" si="6"/>
        <v>2080</v>
      </c>
      <c r="Q6" s="63" t="str">
        <f t="shared" si="7"/>
        <v>34M40S</v>
      </c>
      <c r="R6" s="62">
        <f t="shared" si="8"/>
        <v>34666.666666666664</v>
      </c>
      <c r="S6" s="60">
        <f t="shared" si="9"/>
        <v>6240</v>
      </c>
      <c r="T6" s="60">
        <f t="shared" si="15"/>
        <v>330720</v>
      </c>
      <c r="U6" s="62">
        <f>AB6*'reward percentage'!$B$3</f>
        <v>47799.323869572909</v>
      </c>
      <c r="V6" s="68">
        <f t="shared" si="10"/>
        <v>3120</v>
      </c>
      <c r="W6" s="63" t="str">
        <f t="shared" si="11"/>
        <v>52M</v>
      </c>
      <c r="X6" s="62">
        <f t="shared" si="16"/>
        <v>104000</v>
      </c>
      <c r="Y6" s="60">
        <f t="shared" si="17"/>
        <v>6240</v>
      </c>
      <c r="Z6" s="60">
        <f t="shared" si="18"/>
        <v>330720</v>
      </c>
      <c r="AA6" s="62">
        <f t="shared" si="23"/>
        <v>244725</v>
      </c>
      <c r="AB6" s="62">
        <f t="shared" si="19"/>
        <v>477993.23869572906</v>
      </c>
      <c r="AC6" s="75">
        <f t="shared" si="12"/>
        <v>482725.23869572906</v>
      </c>
      <c r="AD6" s="82">
        <f t="shared" si="24"/>
        <v>4732</v>
      </c>
      <c r="AE6" s="64">
        <f t="shared" si="20"/>
        <v>0.73997641509433965</v>
      </c>
      <c r="AF6" s="64">
        <v>4.6415888336127793</v>
      </c>
      <c r="AG6" s="66">
        <f t="shared" si="21"/>
        <v>4.5499999999999999E-2</v>
      </c>
    </row>
    <row r="7" spans="1:33" x14ac:dyDescent="0.3">
      <c r="A7" s="59">
        <v>5</v>
      </c>
      <c r="B7" s="66">
        <f t="shared" si="13"/>
        <v>3.5938136638046272</v>
      </c>
      <c r="C7" s="60">
        <v>0.32800000000000001</v>
      </c>
      <c r="D7" s="60">
        <f>SUM($C$3:C7)</f>
        <v>1.3120000000000001</v>
      </c>
      <c r="E7" s="61">
        <f t="shared" si="0"/>
        <v>6.1893224615434672E-2</v>
      </c>
      <c r="F7" s="61">
        <f t="shared" si="1"/>
        <v>3.7135934769260803</v>
      </c>
      <c r="G7" s="62">
        <f t="shared" si="2"/>
        <v>222.81560861556483</v>
      </c>
      <c r="H7" s="62">
        <f>G7*'Research Enhancing'!C6</f>
        <v>227.27192078787613</v>
      </c>
      <c r="I7" s="62">
        <v>54</v>
      </c>
      <c r="J7" s="68">
        <v>240</v>
      </c>
      <c r="K7" s="63" t="str">
        <f t="shared" si="3"/>
        <v>4M</v>
      </c>
      <c r="L7" s="62">
        <f t="shared" si="22"/>
        <v>4000</v>
      </c>
      <c r="M7" s="60">
        <f t="shared" si="4"/>
        <v>600</v>
      </c>
      <c r="N7" s="60">
        <f t="shared" si="5"/>
        <v>32400</v>
      </c>
      <c r="O7" s="62">
        <f t="shared" si="14"/>
        <v>18383.631051784065</v>
      </c>
      <c r="P7" s="68">
        <f t="shared" si="6"/>
        <v>3120</v>
      </c>
      <c r="Q7" s="63" t="str">
        <f t="shared" si="7"/>
        <v>52M</v>
      </c>
      <c r="R7" s="62">
        <f t="shared" si="8"/>
        <v>52000</v>
      </c>
      <c r="S7" s="60">
        <f t="shared" si="9"/>
        <v>7800</v>
      </c>
      <c r="T7" s="60">
        <f t="shared" si="15"/>
        <v>421200</v>
      </c>
      <c r="U7" s="62">
        <f>AB7*'reward percentage'!$B$3</f>
        <v>55150.893155352191</v>
      </c>
      <c r="V7" s="68">
        <f t="shared" si="10"/>
        <v>4680</v>
      </c>
      <c r="W7" s="63" t="str">
        <f t="shared" si="11"/>
        <v>1H18M</v>
      </c>
      <c r="X7" s="62">
        <f t="shared" si="16"/>
        <v>156000</v>
      </c>
      <c r="Y7" s="60">
        <f t="shared" si="17"/>
        <v>7800</v>
      </c>
      <c r="Z7" s="60">
        <f t="shared" si="18"/>
        <v>421200</v>
      </c>
      <c r="AA7" s="62">
        <f t="shared" si="23"/>
        <v>274300</v>
      </c>
      <c r="AB7" s="62">
        <f t="shared" si="19"/>
        <v>551508.93155352189</v>
      </c>
      <c r="AC7" s="75">
        <f t="shared" si="12"/>
        <v>560634.93155352189</v>
      </c>
      <c r="AD7" s="82">
        <f t="shared" si="24"/>
        <v>9126</v>
      </c>
      <c r="AE7" s="64">
        <f t="shared" si="20"/>
        <v>0.65123456790123457</v>
      </c>
      <c r="AF7" s="64">
        <v>3.5938136638046272</v>
      </c>
      <c r="AG7" s="66">
        <f t="shared" si="21"/>
        <v>5.8500000000000003E-2</v>
      </c>
    </row>
    <row r="8" spans="1:33" x14ac:dyDescent="0.3">
      <c r="A8" s="59">
        <v>6</v>
      </c>
      <c r="B8" s="66">
        <f t="shared" si="13"/>
        <v>2.7825594022071245</v>
      </c>
      <c r="C8" s="60">
        <v>0.32800000000000001</v>
      </c>
      <c r="D8" s="60">
        <f>SUM($C$3:C8)</f>
        <v>1.6400000000000001</v>
      </c>
      <c r="E8" s="61">
        <f t="shared" si="0"/>
        <v>8.5919491870578041E-2</v>
      </c>
      <c r="F8" s="61">
        <f t="shared" si="1"/>
        <v>5.1551695122346821</v>
      </c>
      <c r="G8" s="62">
        <f t="shared" si="2"/>
        <v>309.31017073408094</v>
      </c>
      <c r="H8" s="62">
        <f>G8*'Research Enhancing'!C7</f>
        <v>315.49637414876258</v>
      </c>
      <c r="I8" s="62">
        <v>55</v>
      </c>
      <c r="J8" s="68">
        <v>300</v>
      </c>
      <c r="K8" s="63" t="str">
        <f t="shared" si="3"/>
        <v>5M</v>
      </c>
      <c r="L8" s="62">
        <f t="shared" si="22"/>
        <v>5000</v>
      </c>
      <c r="M8" s="60">
        <f t="shared" si="4"/>
        <v>720</v>
      </c>
      <c r="N8" s="60">
        <f t="shared" si="5"/>
        <v>39600</v>
      </c>
      <c r="O8" s="62">
        <f t="shared" si="14"/>
        <v>17621.886114346311</v>
      </c>
      <c r="P8" s="68">
        <f t="shared" si="6"/>
        <v>3900</v>
      </c>
      <c r="Q8" s="63" t="str">
        <f t="shared" si="7"/>
        <v>1H5M</v>
      </c>
      <c r="R8" s="62">
        <f t="shared" si="8"/>
        <v>65000</v>
      </c>
      <c r="S8" s="60">
        <f t="shared" si="9"/>
        <v>9360</v>
      </c>
      <c r="T8" s="60">
        <f t="shared" si="15"/>
        <v>514800</v>
      </c>
      <c r="U8" s="62">
        <f>AB8*'reward percentage'!$B$3</f>
        <v>52865.658343038929</v>
      </c>
      <c r="V8" s="68">
        <f t="shared" si="10"/>
        <v>5850</v>
      </c>
      <c r="W8" s="63" t="str">
        <f t="shared" si="11"/>
        <v>1H37M30S</v>
      </c>
      <c r="X8" s="62">
        <f t="shared" si="16"/>
        <v>195000</v>
      </c>
      <c r="Y8" s="60">
        <f t="shared" si="17"/>
        <v>9360</v>
      </c>
      <c r="Z8" s="60">
        <f t="shared" si="18"/>
        <v>514800</v>
      </c>
      <c r="AA8" s="62">
        <f t="shared" si="23"/>
        <v>303875</v>
      </c>
      <c r="AB8" s="62">
        <f t="shared" si="19"/>
        <v>528656.58343038929</v>
      </c>
      <c r="AC8" s="75">
        <f t="shared" si="12"/>
        <v>542599.08343038929</v>
      </c>
      <c r="AD8" s="82">
        <f t="shared" si="24"/>
        <v>13942.5</v>
      </c>
      <c r="AE8" s="64">
        <f t="shared" si="20"/>
        <v>0.59027777777777779</v>
      </c>
      <c r="AF8" s="64">
        <v>2.7825594022071245</v>
      </c>
      <c r="AG8" s="66">
        <f t="shared" si="21"/>
        <v>7.1499999999999994E-2</v>
      </c>
    </row>
    <row r="9" spans="1:33" x14ac:dyDescent="0.3">
      <c r="A9" s="59">
        <v>7</v>
      </c>
      <c r="B9" s="66">
        <f t="shared" si="13"/>
        <v>2.1544346900318838</v>
      </c>
      <c r="C9" s="60">
        <v>0.32800000000000001</v>
      </c>
      <c r="D9" s="60">
        <f>SUM($C$3:C9)</f>
        <v>1.9680000000000002</v>
      </c>
      <c r="E9" s="61">
        <f t="shared" si="0"/>
        <v>0.11927249111944625</v>
      </c>
      <c r="F9" s="61">
        <f t="shared" si="1"/>
        <v>7.1563494671667751</v>
      </c>
      <c r="G9" s="62">
        <f t="shared" si="2"/>
        <v>429.3809680300065</v>
      </c>
      <c r="H9" s="62">
        <f>G9*'Research Enhancing'!C8</f>
        <v>442.26239707090673</v>
      </c>
      <c r="I9" s="62">
        <v>56</v>
      </c>
      <c r="J9" s="68">
        <v>450</v>
      </c>
      <c r="K9" s="63" t="str">
        <f t="shared" si="3"/>
        <v>7M30S</v>
      </c>
      <c r="L9" s="62">
        <f t="shared" si="22"/>
        <v>7500</v>
      </c>
      <c r="M9" s="60">
        <f t="shared" si="4"/>
        <v>840</v>
      </c>
      <c r="N9" s="60">
        <f t="shared" si="5"/>
        <v>47040</v>
      </c>
      <c r="O9" s="62">
        <f t="shared" si="14"/>
        <v>20181.863227810867</v>
      </c>
      <c r="P9" s="68">
        <f t="shared" si="6"/>
        <v>5850</v>
      </c>
      <c r="Q9" s="63" t="str">
        <f t="shared" si="7"/>
        <v>1H37M30S</v>
      </c>
      <c r="R9" s="62">
        <f t="shared" si="8"/>
        <v>97500</v>
      </c>
      <c r="S9" s="60">
        <f t="shared" si="9"/>
        <v>10920</v>
      </c>
      <c r="T9" s="60">
        <f t="shared" si="15"/>
        <v>611520</v>
      </c>
      <c r="U9" s="62">
        <f>AB9*'reward percentage'!$B$3</f>
        <v>60545.589683432598</v>
      </c>
      <c r="V9" s="68">
        <f t="shared" si="10"/>
        <v>8775</v>
      </c>
      <c r="W9" s="63" t="str">
        <f t="shared" si="11"/>
        <v>2H26M15S</v>
      </c>
      <c r="X9" s="62">
        <f t="shared" si="16"/>
        <v>292500</v>
      </c>
      <c r="Y9" s="60">
        <f t="shared" si="17"/>
        <v>10920</v>
      </c>
      <c r="Z9" s="60">
        <f t="shared" si="18"/>
        <v>611520</v>
      </c>
      <c r="AA9" s="62">
        <f t="shared" si="23"/>
        <v>333450</v>
      </c>
      <c r="AB9" s="62">
        <f t="shared" si="19"/>
        <v>605455.89683432598</v>
      </c>
      <c r="AC9" s="75">
        <f t="shared" si="12"/>
        <v>630172.14683432598</v>
      </c>
      <c r="AD9" s="82">
        <f t="shared" si="24"/>
        <v>24716.25</v>
      </c>
      <c r="AE9" s="64">
        <f t="shared" si="20"/>
        <v>0.54528061224489799</v>
      </c>
      <c r="AF9" s="64">
        <v>2.1544346900318838</v>
      </c>
      <c r="AG9" s="66">
        <f t="shared" si="21"/>
        <v>8.4500000000000006E-2</v>
      </c>
    </row>
    <row r="10" spans="1:33" x14ac:dyDescent="0.3">
      <c r="A10" s="59">
        <v>8</v>
      </c>
      <c r="B10" s="66">
        <f t="shared" si="13"/>
        <v>1.6681005372000588</v>
      </c>
      <c r="C10" s="60">
        <v>0.32800000000000001</v>
      </c>
      <c r="D10" s="60">
        <f>SUM($C$3:C10)</f>
        <v>2.2960000000000003</v>
      </c>
      <c r="E10" s="61">
        <f t="shared" si="0"/>
        <v>0.16557275686950215</v>
      </c>
      <c r="F10" s="61">
        <f t="shared" si="1"/>
        <v>9.9343654121701288</v>
      </c>
      <c r="G10" s="62">
        <f t="shared" si="2"/>
        <v>596.06192473020769</v>
      </c>
      <c r="H10" s="62">
        <f>G10*'Research Enhancing'!C9</f>
        <v>613.94378247211398</v>
      </c>
      <c r="I10" s="62">
        <v>57</v>
      </c>
      <c r="J10" s="68">
        <v>620</v>
      </c>
      <c r="K10" s="63" t="str">
        <f t="shared" si="3"/>
        <v>10M20S</v>
      </c>
      <c r="L10" s="62">
        <f t="shared" si="22"/>
        <v>10333.333333333334</v>
      </c>
      <c r="M10" s="60">
        <f t="shared" si="4"/>
        <v>960</v>
      </c>
      <c r="N10" s="60">
        <f t="shared" si="5"/>
        <v>54720</v>
      </c>
      <c r="O10" s="62">
        <f t="shared" si="14"/>
        <v>21098.400549720791</v>
      </c>
      <c r="P10" s="68">
        <f t="shared" si="6"/>
        <v>8060</v>
      </c>
      <c r="Q10" s="63" t="str">
        <f t="shared" si="7"/>
        <v>2H14M20S</v>
      </c>
      <c r="R10" s="62">
        <f t="shared" si="8"/>
        <v>134333.33333333334</v>
      </c>
      <c r="S10" s="60">
        <f t="shared" si="9"/>
        <v>12480</v>
      </c>
      <c r="T10" s="60">
        <f t="shared" si="15"/>
        <v>711360</v>
      </c>
      <c r="U10" s="62">
        <f>AB10*'reward percentage'!$B$3</f>
        <v>63295.201649162373</v>
      </c>
      <c r="V10" s="68">
        <f t="shared" si="10"/>
        <v>12090</v>
      </c>
      <c r="W10" s="63" t="str">
        <f t="shared" si="11"/>
        <v>3H21M30S</v>
      </c>
      <c r="X10" s="62">
        <f t="shared" si="16"/>
        <v>403000</v>
      </c>
      <c r="Y10" s="60">
        <f t="shared" si="17"/>
        <v>12480</v>
      </c>
      <c r="Z10" s="60">
        <f t="shared" si="18"/>
        <v>711360</v>
      </c>
      <c r="AA10" s="62">
        <f t="shared" si="23"/>
        <v>363025</v>
      </c>
      <c r="AB10" s="62">
        <f t="shared" si="19"/>
        <v>632952.01649162371</v>
      </c>
      <c r="AC10" s="75">
        <f t="shared" si="12"/>
        <v>672244.51649162371</v>
      </c>
      <c r="AD10" s="82">
        <f t="shared" si="24"/>
        <v>39292.5</v>
      </c>
      <c r="AE10" s="64">
        <f t="shared" si="20"/>
        <v>0.51032529239766078</v>
      </c>
      <c r="AF10" s="64">
        <v>1.6681005372000588</v>
      </c>
      <c r="AG10" s="66">
        <f t="shared" si="21"/>
        <v>9.7500000000000003E-2</v>
      </c>
    </row>
    <row r="11" spans="1:33" x14ac:dyDescent="0.3">
      <c r="A11" s="59">
        <v>9</v>
      </c>
      <c r="B11" s="66">
        <f t="shared" si="13"/>
        <v>1.2915496650148839</v>
      </c>
      <c r="C11" s="60">
        <v>0.32800000000000001</v>
      </c>
      <c r="D11" s="60">
        <f>SUM($C$3:C11)</f>
        <v>2.6240000000000001</v>
      </c>
      <c r="E11" s="61">
        <f t="shared" si="0"/>
        <v>0.22984627519779893</v>
      </c>
      <c r="F11" s="61">
        <f t="shared" si="1"/>
        <v>13.790776511867936</v>
      </c>
      <c r="G11" s="62">
        <f t="shared" si="2"/>
        <v>827.44659071207616</v>
      </c>
      <c r="H11" s="62">
        <f>G11*'Research Enhancing'!C10</f>
        <v>852.26998843343847</v>
      </c>
      <c r="I11" s="62">
        <v>58</v>
      </c>
      <c r="J11" s="68">
        <v>860</v>
      </c>
      <c r="K11" s="63" t="str">
        <f t="shared" si="3"/>
        <v>14M20S</v>
      </c>
      <c r="L11" s="62">
        <f t="shared" si="22"/>
        <v>14333.333333333334</v>
      </c>
      <c r="M11" s="60">
        <f t="shared" si="4"/>
        <v>1080</v>
      </c>
      <c r="N11" s="60">
        <f t="shared" si="5"/>
        <v>62640</v>
      </c>
      <c r="O11" s="62">
        <f t="shared" si="14"/>
        <v>22006.892091444006</v>
      </c>
      <c r="P11" s="68">
        <f t="shared" si="6"/>
        <v>11180</v>
      </c>
      <c r="Q11" s="63" t="str">
        <f t="shared" si="7"/>
        <v>3H6M20S</v>
      </c>
      <c r="R11" s="62">
        <f t="shared" si="8"/>
        <v>186333.33333333334</v>
      </c>
      <c r="S11" s="60">
        <f t="shared" si="9"/>
        <v>14040</v>
      </c>
      <c r="T11" s="60">
        <f t="shared" si="15"/>
        <v>814320</v>
      </c>
      <c r="U11" s="62">
        <f>AB11*'reward percentage'!$B$3</f>
        <v>66020.676274332014</v>
      </c>
      <c r="V11" s="68">
        <f t="shared" si="10"/>
        <v>16770</v>
      </c>
      <c r="W11" s="63" t="str">
        <f t="shared" si="11"/>
        <v>4H39M30S</v>
      </c>
      <c r="X11" s="62">
        <f t="shared" si="16"/>
        <v>559000</v>
      </c>
      <c r="Y11" s="60">
        <f t="shared" si="17"/>
        <v>14040</v>
      </c>
      <c r="Z11" s="60">
        <f t="shared" si="18"/>
        <v>814320</v>
      </c>
      <c r="AA11" s="62">
        <f t="shared" si="23"/>
        <v>392600</v>
      </c>
      <c r="AB11" s="62">
        <f t="shared" si="19"/>
        <v>660206.76274332008</v>
      </c>
      <c r="AC11" s="75">
        <f t="shared" si="12"/>
        <v>721976.26274332008</v>
      </c>
      <c r="AD11" s="82">
        <f t="shared" si="24"/>
        <v>61769.5</v>
      </c>
      <c r="AE11" s="64">
        <f t="shared" si="20"/>
        <v>0.48212005108556832</v>
      </c>
      <c r="AF11" s="64">
        <v>1.2915496650148839</v>
      </c>
      <c r="AG11" s="66">
        <f t="shared" si="21"/>
        <v>0.1105</v>
      </c>
    </row>
    <row r="12" spans="1:33" x14ac:dyDescent="0.3">
      <c r="A12" s="59">
        <v>10</v>
      </c>
      <c r="B12" s="66">
        <v>1</v>
      </c>
      <c r="C12" s="60">
        <v>0.32800000000000001</v>
      </c>
      <c r="D12" s="60">
        <f>SUM($C$3:C12)</f>
        <v>2.952</v>
      </c>
      <c r="E12" s="61">
        <f t="shared" si="0"/>
        <v>0.31907006455138187</v>
      </c>
      <c r="F12" s="61">
        <f t="shared" si="1"/>
        <v>19.144203873082912</v>
      </c>
      <c r="G12" s="62">
        <f t="shared" si="2"/>
        <v>1148.6522323849747</v>
      </c>
      <c r="H12" s="62">
        <f>G12*'Research Enhancing'!C11</f>
        <v>1194.5983216803738</v>
      </c>
      <c r="I12" s="62">
        <v>59</v>
      </c>
      <c r="J12" s="68">
        <v>1200</v>
      </c>
      <c r="K12" s="63" t="str">
        <f t="shared" si="3"/>
        <v>20M</v>
      </c>
      <c r="L12" s="62">
        <f t="shared" si="22"/>
        <v>20000</v>
      </c>
      <c r="M12" s="60">
        <f t="shared" si="4"/>
        <v>1200</v>
      </c>
      <c r="N12" s="60">
        <f t="shared" si="5"/>
        <v>70800</v>
      </c>
      <c r="O12" s="62">
        <f t="shared" si="14"/>
        <v>22789</v>
      </c>
      <c r="P12" s="68">
        <f t="shared" si="6"/>
        <v>15600</v>
      </c>
      <c r="Q12" s="63" t="str">
        <f t="shared" si="7"/>
        <v>4H20M</v>
      </c>
      <c r="R12" s="62">
        <f t="shared" si="8"/>
        <v>260000</v>
      </c>
      <c r="S12" s="60">
        <f t="shared" si="9"/>
        <v>15600</v>
      </c>
      <c r="T12" s="60">
        <f t="shared" si="15"/>
        <v>920400</v>
      </c>
      <c r="U12" s="62">
        <f>AB12*'reward percentage'!$B$3</f>
        <v>68367</v>
      </c>
      <c r="V12" s="68">
        <f t="shared" si="10"/>
        <v>23400</v>
      </c>
      <c r="W12" s="63" t="str">
        <f t="shared" si="11"/>
        <v>6H30M</v>
      </c>
      <c r="X12" s="62">
        <f t="shared" si="16"/>
        <v>780000</v>
      </c>
      <c r="Y12" s="60">
        <f t="shared" si="17"/>
        <v>15600</v>
      </c>
      <c r="Z12" s="60">
        <f t="shared" si="18"/>
        <v>920400</v>
      </c>
      <c r="AA12" s="62">
        <f t="shared" si="23"/>
        <v>422175</v>
      </c>
      <c r="AB12" s="62">
        <f t="shared" si="19"/>
        <v>683670</v>
      </c>
      <c r="AC12" s="75">
        <f t="shared" si="12"/>
        <v>780000</v>
      </c>
      <c r="AD12" s="82">
        <f t="shared" si="24"/>
        <v>96330</v>
      </c>
      <c r="AE12" s="64">
        <f t="shared" si="20"/>
        <v>0.4586864406779661</v>
      </c>
      <c r="AF12" s="64">
        <v>1</v>
      </c>
      <c r="AG12" s="66">
        <f t="shared" si="21"/>
        <v>0.1235</v>
      </c>
    </row>
    <row r="13" spans="1:33" x14ac:dyDescent="0.3">
      <c r="A13" s="59">
        <v>11</v>
      </c>
      <c r="B13" s="66">
        <f t="shared" ref="B13:B27" si="25">EXP($S$38*(A13-10))</f>
        <v>0.9268511615858227</v>
      </c>
      <c r="C13" s="60">
        <v>0.32800000000000001</v>
      </c>
      <c r="D13" s="60">
        <f>SUM($C$3:C13)</f>
        <v>3.28</v>
      </c>
      <c r="E13" s="61">
        <f t="shared" si="0"/>
        <v>0.44292954499789927</v>
      </c>
      <c r="F13" s="61">
        <f t="shared" si="1"/>
        <v>26.575772699873955</v>
      </c>
      <c r="G13" s="62">
        <f t="shared" si="2"/>
        <v>1594.5463619924374</v>
      </c>
      <c r="H13" s="62">
        <f>G13*'Research Enhancing'!C12</f>
        <v>1658.328216472135</v>
      </c>
      <c r="I13" s="62">
        <v>60</v>
      </c>
      <c r="J13" s="68">
        <v>1660</v>
      </c>
      <c r="K13" s="63" t="str">
        <f t="shared" si="3"/>
        <v>27M40S</v>
      </c>
      <c r="L13" s="62">
        <f t="shared" si="22"/>
        <v>27666.666666666668</v>
      </c>
      <c r="M13" s="60">
        <f t="shared" si="4"/>
        <v>1320</v>
      </c>
      <c r="N13" s="60">
        <f t="shared" si="5"/>
        <v>79200</v>
      </c>
      <c r="O13" s="62">
        <f t="shared" si="14"/>
        <v>28426.296778370091</v>
      </c>
      <c r="P13" s="68">
        <f t="shared" si="6"/>
        <v>21580</v>
      </c>
      <c r="Q13" s="63" t="str">
        <f t="shared" si="7"/>
        <v>5H59M40S</v>
      </c>
      <c r="R13" s="62">
        <f t="shared" si="8"/>
        <v>359666.66666666669</v>
      </c>
      <c r="S13" s="60">
        <f t="shared" si="9"/>
        <v>17160</v>
      </c>
      <c r="T13" s="60">
        <f t="shared" si="15"/>
        <v>1029600</v>
      </c>
      <c r="U13" s="62">
        <f>AB13*'reward percentage'!$B$3</f>
        <v>85278.890335110278</v>
      </c>
      <c r="V13" s="68">
        <f t="shared" si="10"/>
        <v>32370</v>
      </c>
      <c r="W13" s="63" t="str">
        <f t="shared" si="11"/>
        <v>8H59M30S</v>
      </c>
      <c r="X13" s="62">
        <f t="shared" si="16"/>
        <v>1079000</v>
      </c>
      <c r="Y13" s="60">
        <f t="shared" si="17"/>
        <v>17160</v>
      </c>
      <c r="Z13" s="60">
        <f t="shared" si="18"/>
        <v>1029600</v>
      </c>
      <c r="AA13" s="62">
        <f t="shared" si="23"/>
        <v>451750</v>
      </c>
      <c r="AB13" s="62">
        <f t="shared" si="19"/>
        <v>852788.90335110272</v>
      </c>
      <c r="AC13" s="75">
        <f t="shared" si="12"/>
        <v>1000072.4033511027</v>
      </c>
      <c r="AD13" s="82">
        <f t="shared" si="24"/>
        <v>147283.5</v>
      </c>
      <c r="AE13" s="64">
        <f t="shared" si="20"/>
        <v>0.43876262626262624</v>
      </c>
      <c r="AF13" s="64">
        <v>0.9268511615858227</v>
      </c>
      <c r="AG13" s="66">
        <f t="shared" si="21"/>
        <v>0.13650000000000001</v>
      </c>
    </row>
    <row r="14" spans="1:33" x14ac:dyDescent="0.3">
      <c r="A14" s="59">
        <v>12</v>
      </c>
      <c r="B14" s="66">
        <f t="shared" si="25"/>
        <v>0.85905307573298884</v>
      </c>
      <c r="C14" s="60">
        <v>0.32800000000000001</v>
      </c>
      <c r="D14" s="60">
        <f>SUM($C$3:C14)</f>
        <v>3.6079999999999997</v>
      </c>
      <c r="E14" s="61">
        <f t="shared" si="0"/>
        <v>0.61486990986725065</v>
      </c>
      <c r="F14" s="61">
        <f t="shared" si="1"/>
        <v>36.89219459203504</v>
      </c>
      <c r="G14" s="62">
        <f t="shared" si="2"/>
        <v>2213.5316755221024</v>
      </c>
      <c r="H14" s="62">
        <f>G14*'Research Enhancing'!C13</f>
        <v>2302.0729425429868</v>
      </c>
      <c r="I14" s="62">
        <v>61</v>
      </c>
      <c r="J14" s="68">
        <v>2300</v>
      </c>
      <c r="K14" s="63" t="str">
        <f t="shared" si="3"/>
        <v>38M20S</v>
      </c>
      <c r="L14" s="62">
        <f t="shared" si="22"/>
        <v>38333.333333333336</v>
      </c>
      <c r="M14" s="60">
        <f t="shared" si="4"/>
        <v>1440</v>
      </c>
      <c r="N14" s="60">
        <f t="shared" si="5"/>
        <v>87840</v>
      </c>
      <c r="O14" s="62">
        <f t="shared" si="14"/>
        <v>35359.394940693943</v>
      </c>
      <c r="P14" s="68">
        <f t="shared" si="6"/>
        <v>29900</v>
      </c>
      <c r="Q14" s="63" t="str">
        <f t="shared" si="7"/>
        <v>8H18M20S</v>
      </c>
      <c r="R14" s="62">
        <f t="shared" si="8"/>
        <v>498333.33333333337</v>
      </c>
      <c r="S14" s="60">
        <f t="shared" si="9"/>
        <v>18720</v>
      </c>
      <c r="T14" s="60">
        <f t="shared" si="15"/>
        <v>1141920</v>
      </c>
      <c r="U14" s="62">
        <f>AB14*'reward percentage'!$B$3</f>
        <v>106078.18482208182</v>
      </c>
      <c r="V14" s="68">
        <f t="shared" si="10"/>
        <v>44850</v>
      </c>
      <c r="W14" s="63" t="str">
        <f t="shared" si="11"/>
        <v>12H27M30S</v>
      </c>
      <c r="X14" s="62">
        <f t="shared" si="16"/>
        <v>1495000</v>
      </c>
      <c r="Y14" s="60">
        <f t="shared" si="17"/>
        <v>18720</v>
      </c>
      <c r="Z14" s="60">
        <f t="shared" si="18"/>
        <v>1141920</v>
      </c>
      <c r="AA14" s="62">
        <f t="shared" si="23"/>
        <v>481325</v>
      </c>
      <c r="AB14" s="62">
        <f t="shared" si="19"/>
        <v>1060781.8482208182</v>
      </c>
      <c r="AC14" s="75">
        <f t="shared" si="12"/>
        <v>1284284.3482208182</v>
      </c>
      <c r="AD14" s="82">
        <f t="shared" si="24"/>
        <v>223502.5</v>
      </c>
      <c r="AE14" s="64">
        <f t="shared" si="20"/>
        <v>0.42150500910746813</v>
      </c>
      <c r="AF14" s="64">
        <v>0.85905307573298884</v>
      </c>
      <c r="AG14" s="66">
        <f t="shared" si="21"/>
        <v>0.14949999999999999</v>
      </c>
    </row>
    <row r="15" spans="1:33" x14ac:dyDescent="0.3">
      <c r="A15" s="59">
        <v>13</v>
      </c>
      <c r="B15" s="66">
        <f t="shared" si="25"/>
        <v>0.79621434110699452</v>
      </c>
      <c r="C15" s="60">
        <v>0.32800000000000001</v>
      </c>
      <c r="D15" s="60">
        <f>SUM($C$3:C15)</f>
        <v>3.9359999999999995</v>
      </c>
      <c r="E15" s="61">
        <f t="shared" si="0"/>
        <v>0.85355562827030218</v>
      </c>
      <c r="F15" s="61">
        <f t="shared" si="1"/>
        <v>51.213337696218133</v>
      </c>
      <c r="G15" s="62">
        <f t="shared" si="2"/>
        <v>3072.8002617730881</v>
      </c>
      <c r="H15" s="62">
        <f>G15*'Research Enhancing'!C14</f>
        <v>3226.4402748617426</v>
      </c>
      <c r="I15" s="62">
        <v>62</v>
      </c>
      <c r="J15" s="68">
        <v>3240</v>
      </c>
      <c r="K15" s="63" t="str">
        <f t="shared" si="3"/>
        <v>54M</v>
      </c>
      <c r="L15" s="62">
        <f t="shared" si="22"/>
        <v>54000</v>
      </c>
      <c r="M15" s="60">
        <f t="shared" si="4"/>
        <v>1560</v>
      </c>
      <c r="N15" s="60">
        <f t="shared" si="5"/>
        <v>96720</v>
      </c>
      <c r="O15" s="62">
        <f t="shared" si="14"/>
        <v>44486.746745711018</v>
      </c>
      <c r="P15" s="68">
        <f t="shared" si="6"/>
        <v>42120</v>
      </c>
      <c r="Q15" s="63" t="str">
        <f t="shared" si="7"/>
        <v>11H42M</v>
      </c>
      <c r="R15" s="62">
        <f t="shared" si="8"/>
        <v>702000</v>
      </c>
      <c r="S15" s="60">
        <f t="shared" si="9"/>
        <v>20280</v>
      </c>
      <c r="T15" s="60">
        <f t="shared" si="15"/>
        <v>1257360</v>
      </c>
      <c r="U15" s="62">
        <f>AB15*'reward percentage'!$B$3</f>
        <v>133460.24023713305</v>
      </c>
      <c r="V15" s="68">
        <f t="shared" si="10"/>
        <v>63180</v>
      </c>
      <c r="W15" s="63" t="str">
        <f t="shared" si="11"/>
        <v>17H33M</v>
      </c>
      <c r="X15" s="62">
        <f t="shared" si="16"/>
        <v>2106000</v>
      </c>
      <c r="Y15" s="60">
        <f t="shared" si="17"/>
        <v>20280</v>
      </c>
      <c r="Z15" s="60">
        <f t="shared" si="18"/>
        <v>1257360</v>
      </c>
      <c r="AA15" s="62">
        <f t="shared" si="23"/>
        <v>510900</v>
      </c>
      <c r="AB15" s="62">
        <f t="shared" si="19"/>
        <v>1334602.4023713304</v>
      </c>
      <c r="AC15" s="75">
        <f t="shared" si="12"/>
        <v>1676827.4023713304</v>
      </c>
      <c r="AD15" s="82">
        <f t="shared" si="24"/>
        <v>342225</v>
      </c>
      <c r="AE15" s="64">
        <f t="shared" si="20"/>
        <v>0.40632754342431759</v>
      </c>
      <c r="AF15" s="64">
        <v>0.79621434110699452</v>
      </c>
      <c r="AG15" s="66">
        <f t="shared" si="21"/>
        <v>0.16250000000000001</v>
      </c>
    </row>
    <row r="16" spans="1:33" x14ac:dyDescent="0.3">
      <c r="A16" s="59">
        <v>14</v>
      </c>
      <c r="B16" s="66">
        <f t="shared" si="25"/>
        <v>0.73797218692630839</v>
      </c>
      <c r="C16" s="60">
        <v>0.32800000000000001</v>
      </c>
      <c r="D16" s="60">
        <f>SUM($C$3:C16)</f>
        <v>4.2639999999999993</v>
      </c>
      <c r="E16" s="61">
        <f t="shared" si="0"/>
        <v>1.1848965104003946</v>
      </c>
      <c r="F16" s="61">
        <f t="shared" si="1"/>
        <v>71.093790624023669</v>
      </c>
      <c r="G16" s="62">
        <f t="shared" si="2"/>
        <v>4265.6274374414197</v>
      </c>
      <c r="H16" s="62">
        <f>G16*'Research Enhancing'!C15</f>
        <v>4478.9088093134906</v>
      </c>
      <c r="I16" s="62">
        <v>63</v>
      </c>
      <c r="J16" s="68">
        <v>4500</v>
      </c>
      <c r="K16" s="63" t="str">
        <f t="shared" si="3"/>
        <v>1H15M</v>
      </c>
      <c r="L16" s="62">
        <f t="shared" si="22"/>
        <v>75000</v>
      </c>
      <c r="M16" s="60">
        <f t="shared" si="4"/>
        <v>1680</v>
      </c>
      <c r="N16" s="60">
        <f t="shared" si="5"/>
        <v>105840</v>
      </c>
      <c r="O16" s="62">
        <f t="shared" si="14"/>
        <v>54841.038225315067</v>
      </c>
      <c r="P16" s="68">
        <f t="shared" si="6"/>
        <v>58500</v>
      </c>
      <c r="Q16" s="63" t="str">
        <f t="shared" si="7"/>
        <v>16H15M</v>
      </c>
      <c r="R16" s="62">
        <f t="shared" si="8"/>
        <v>975000</v>
      </c>
      <c r="S16" s="60">
        <f t="shared" si="9"/>
        <v>21840</v>
      </c>
      <c r="T16" s="60">
        <f t="shared" si="15"/>
        <v>1375920</v>
      </c>
      <c r="U16" s="62">
        <f>AB16*'reward percentage'!$B$3</f>
        <v>164523.11467594519</v>
      </c>
      <c r="V16" s="68">
        <f t="shared" si="10"/>
        <v>87750</v>
      </c>
      <c r="W16" s="63" t="str">
        <f t="shared" si="11"/>
        <v>1D22M30S</v>
      </c>
      <c r="X16" s="62">
        <f t="shared" si="16"/>
        <v>2925000</v>
      </c>
      <c r="Y16" s="60">
        <f t="shared" si="17"/>
        <v>21840</v>
      </c>
      <c r="Z16" s="60">
        <f t="shared" si="18"/>
        <v>1375920</v>
      </c>
      <c r="AA16" s="62">
        <f t="shared" si="23"/>
        <v>540475</v>
      </c>
      <c r="AB16" s="62">
        <f t="shared" si="19"/>
        <v>1645231.1467594518</v>
      </c>
      <c r="AC16" s="75">
        <f t="shared" si="12"/>
        <v>2158568.6467594518</v>
      </c>
      <c r="AD16" s="82">
        <f t="shared" si="24"/>
        <v>513337.5</v>
      </c>
      <c r="AE16" s="64">
        <f t="shared" si="20"/>
        <v>0.39280990173847319</v>
      </c>
      <c r="AF16" s="64">
        <v>0.73797218692630839</v>
      </c>
      <c r="AG16" s="66">
        <f t="shared" si="21"/>
        <v>0.17549999999999999</v>
      </c>
    </row>
    <row r="17" spans="1:33" x14ac:dyDescent="0.3">
      <c r="A17" s="59">
        <v>15</v>
      </c>
      <c r="B17" s="66">
        <f t="shared" si="25"/>
        <v>0.6839903786706788</v>
      </c>
      <c r="C17" s="60">
        <v>0.32800000000000001</v>
      </c>
      <c r="D17" s="60">
        <f>SUM($C$3:C17)</f>
        <v>4.5919999999999996</v>
      </c>
      <c r="E17" s="61">
        <f t="shared" si="0"/>
        <v>1.6448602690420351</v>
      </c>
      <c r="F17" s="61">
        <f t="shared" si="1"/>
        <v>98.691616142522108</v>
      </c>
      <c r="G17" s="62">
        <f t="shared" si="2"/>
        <v>5921.4969685513261</v>
      </c>
      <c r="H17" s="62">
        <f>G17*'Research Enhancing'!C16</f>
        <v>6217.5718169788925</v>
      </c>
      <c r="I17" s="62">
        <v>64</v>
      </c>
      <c r="J17" s="68">
        <v>6240</v>
      </c>
      <c r="K17" s="63" t="str">
        <f t="shared" si="3"/>
        <v>1H44M</v>
      </c>
      <c r="L17" s="62">
        <f t="shared" si="22"/>
        <v>104000</v>
      </c>
      <c r="M17" s="60">
        <f t="shared" si="4"/>
        <v>1800</v>
      </c>
      <c r="N17" s="60">
        <f t="shared" si="5"/>
        <v>115200</v>
      </c>
      <c r="O17" s="62">
        <f t="shared" si="14"/>
        <v>66990.299196275781</v>
      </c>
      <c r="P17" s="68">
        <f t="shared" si="6"/>
        <v>81120</v>
      </c>
      <c r="Q17" s="63" t="str">
        <f t="shared" si="7"/>
        <v>22H32M</v>
      </c>
      <c r="R17" s="62">
        <f t="shared" si="8"/>
        <v>1352000</v>
      </c>
      <c r="S17" s="60">
        <f t="shared" si="9"/>
        <v>23400</v>
      </c>
      <c r="T17" s="60">
        <f t="shared" si="15"/>
        <v>1497600</v>
      </c>
      <c r="U17" s="62">
        <f>AB17*'reward percentage'!$B$3</f>
        <v>200970.89758882733</v>
      </c>
      <c r="V17" s="68">
        <f t="shared" si="10"/>
        <v>121680</v>
      </c>
      <c r="W17" s="63" t="str">
        <f t="shared" si="11"/>
        <v>1D9H48M</v>
      </c>
      <c r="X17" s="62">
        <f t="shared" si="16"/>
        <v>4056000</v>
      </c>
      <c r="Y17" s="60">
        <f t="shared" si="17"/>
        <v>23400</v>
      </c>
      <c r="Z17" s="60">
        <f t="shared" si="18"/>
        <v>1497600</v>
      </c>
      <c r="AA17" s="62">
        <f t="shared" si="23"/>
        <v>570050</v>
      </c>
      <c r="AB17" s="62">
        <f t="shared" si="19"/>
        <v>2009708.9758882732</v>
      </c>
      <c r="AC17" s="75">
        <f t="shared" si="12"/>
        <v>2774264.9758882732</v>
      </c>
      <c r="AD17" s="82">
        <f t="shared" si="24"/>
        <v>764556</v>
      </c>
      <c r="AE17" s="64">
        <f t="shared" si="20"/>
        <v>0.3806423611111111</v>
      </c>
      <c r="AF17" s="64">
        <v>0.6839903786706788</v>
      </c>
      <c r="AG17" s="66">
        <f t="shared" si="21"/>
        <v>0.1885</v>
      </c>
    </row>
    <row r="18" spans="1:33" x14ac:dyDescent="0.3">
      <c r="A18" s="59">
        <v>16</v>
      </c>
      <c r="B18" s="66">
        <f t="shared" si="25"/>
        <v>0.63395727698444537</v>
      </c>
      <c r="C18" s="60">
        <v>0.32800000000000001</v>
      </c>
      <c r="D18" s="60">
        <f>SUM($C$3:C18)</f>
        <v>4.92</v>
      </c>
      <c r="E18" s="61">
        <f t="shared" si="0"/>
        <v>2.2833768864411494</v>
      </c>
      <c r="F18" s="61">
        <f t="shared" si="1"/>
        <v>137.00261318646898</v>
      </c>
      <c r="G18" s="62">
        <f t="shared" si="2"/>
        <v>8220.1567911881393</v>
      </c>
      <c r="H18" s="62">
        <f>G18*'Research Enhancing'!C17</f>
        <v>8795.5677665713101</v>
      </c>
      <c r="I18" s="62">
        <v>65</v>
      </c>
      <c r="J18" s="68">
        <v>8820</v>
      </c>
      <c r="K18" s="63" t="str">
        <f t="shared" si="3"/>
        <v>2H27M</v>
      </c>
      <c r="L18" s="62">
        <f t="shared" si="22"/>
        <v>147000</v>
      </c>
      <c r="M18" s="60">
        <f t="shared" si="4"/>
        <v>1920</v>
      </c>
      <c r="N18" s="60">
        <f t="shared" si="5"/>
        <v>124800</v>
      </c>
      <c r="O18" s="62">
        <f t="shared" si="14"/>
        <v>82642.585631727517</v>
      </c>
      <c r="P18" s="68">
        <f t="shared" si="6"/>
        <v>114660</v>
      </c>
      <c r="Q18" s="63" t="str">
        <f t="shared" si="7"/>
        <v>1D7H51M</v>
      </c>
      <c r="R18" s="62">
        <f t="shared" si="8"/>
        <v>1911000</v>
      </c>
      <c r="S18" s="60">
        <f t="shared" si="9"/>
        <v>24960</v>
      </c>
      <c r="T18" s="60">
        <f t="shared" si="15"/>
        <v>1622400</v>
      </c>
      <c r="U18" s="62">
        <f>AB18*'reward percentage'!$B$3</f>
        <v>247927.75689518254</v>
      </c>
      <c r="V18" s="68">
        <f t="shared" si="10"/>
        <v>171990</v>
      </c>
      <c r="W18" s="63" t="str">
        <f t="shared" si="11"/>
        <v>1D23H46M30S</v>
      </c>
      <c r="X18" s="62">
        <f t="shared" si="16"/>
        <v>5733000</v>
      </c>
      <c r="Y18" s="60">
        <f t="shared" si="17"/>
        <v>24960</v>
      </c>
      <c r="Z18" s="60">
        <f t="shared" si="18"/>
        <v>1622400</v>
      </c>
      <c r="AA18" s="62">
        <f t="shared" si="23"/>
        <v>599625</v>
      </c>
      <c r="AB18" s="62">
        <f t="shared" si="19"/>
        <v>2479277.5689518251</v>
      </c>
      <c r="AC18" s="75">
        <f t="shared" si="12"/>
        <v>3634477.0689518251</v>
      </c>
      <c r="AD18" s="82">
        <f t="shared" si="24"/>
        <v>1155199.5</v>
      </c>
      <c r="AE18" s="64">
        <f t="shared" si="20"/>
        <v>0.36959134615384615</v>
      </c>
      <c r="AF18" s="64">
        <v>0.63395727698444537</v>
      </c>
      <c r="AG18" s="66">
        <f t="shared" si="21"/>
        <v>0.20150000000000001</v>
      </c>
    </row>
    <row r="19" spans="1:33" x14ac:dyDescent="0.3">
      <c r="A19" s="59">
        <v>17</v>
      </c>
      <c r="B19" s="66">
        <f t="shared" si="25"/>
        <v>0.58758403856881836</v>
      </c>
      <c r="C19" s="60">
        <v>0.32800000000000001</v>
      </c>
      <c r="D19" s="60">
        <f>SUM($C$3:C19)</f>
        <v>5.2480000000000002</v>
      </c>
      <c r="E19" s="61">
        <f t="shared" si="0"/>
        <v>3.1697586133381388</v>
      </c>
      <c r="F19" s="61">
        <f t="shared" si="1"/>
        <v>190.18551680028833</v>
      </c>
      <c r="G19" s="62">
        <f t="shared" si="2"/>
        <v>11411.131008017299</v>
      </c>
      <c r="H19" s="62">
        <f>G19*'Research Enhancing'!C18</f>
        <v>12209.91017857851</v>
      </c>
      <c r="I19" s="62">
        <v>66</v>
      </c>
      <c r="J19" s="68">
        <v>12240</v>
      </c>
      <c r="K19" s="63" t="str">
        <f t="shared" si="3"/>
        <v>3H24M</v>
      </c>
      <c r="L19" s="62">
        <f t="shared" si="22"/>
        <v>204000</v>
      </c>
      <c r="M19" s="60">
        <f t="shared" si="4"/>
        <v>2040</v>
      </c>
      <c r="N19" s="60">
        <f t="shared" si="5"/>
        <v>134640</v>
      </c>
      <c r="O19" s="62">
        <f t="shared" si="14"/>
        <v>98941.887028450656</v>
      </c>
      <c r="P19" s="68">
        <f t="shared" si="6"/>
        <v>159120</v>
      </c>
      <c r="Q19" s="63" t="str">
        <f t="shared" si="7"/>
        <v>1D20H12M</v>
      </c>
      <c r="R19" s="62">
        <f t="shared" si="8"/>
        <v>2652000</v>
      </c>
      <c r="S19" s="60">
        <f t="shared" si="9"/>
        <v>26520</v>
      </c>
      <c r="T19" s="60">
        <f t="shared" si="15"/>
        <v>1750320</v>
      </c>
      <c r="U19" s="62">
        <f>AB19*'reward percentage'!$B$3</f>
        <v>296825.66108535195</v>
      </c>
      <c r="V19" s="68">
        <f t="shared" si="10"/>
        <v>238680</v>
      </c>
      <c r="W19" s="63" t="str">
        <f t="shared" si="11"/>
        <v>2D18H18M</v>
      </c>
      <c r="X19" s="62">
        <f t="shared" si="16"/>
        <v>7956000</v>
      </c>
      <c r="Y19" s="60">
        <f t="shared" si="17"/>
        <v>26520</v>
      </c>
      <c r="Z19" s="60">
        <f t="shared" si="18"/>
        <v>1750320</v>
      </c>
      <c r="AA19" s="62">
        <f t="shared" si="23"/>
        <v>629200</v>
      </c>
      <c r="AB19" s="62">
        <f t="shared" si="19"/>
        <v>2968256.6108535193</v>
      </c>
      <c r="AC19" s="75">
        <f t="shared" si="12"/>
        <v>4674818.6108535193</v>
      </c>
      <c r="AD19" s="82">
        <f t="shared" si="24"/>
        <v>1706562</v>
      </c>
      <c r="AE19" s="64">
        <f t="shared" si="20"/>
        <v>0.35947712418300654</v>
      </c>
      <c r="AF19" s="64">
        <v>0.58758403856881836</v>
      </c>
      <c r="AG19" s="66">
        <f t="shared" si="21"/>
        <v>0.2145</v>
      </c>
    </row>
    <row r="20" spans="1:33" x14ac:dyDescent="0.3">
      <c r="A20" s="59">
        <v>18</v>
      </c>
      <c r="B20" s="66">
        <f t="shared" si="25"/>
        <v>0.54460294867679815</v>
      </c>
      <c r="C20" s="60">
        <v>0.32800000000000001</v>
      </c>
      <c r="D20" s="60">
        <f>SUM($C$3:C20)</f>
        <v>5.5760000000000005</v>
      </c>
      <c r="E20" s="61">
        <f t="shared" si="0"/>
        <v>4.4002239518553852</v>
      </c>
      <c r="F20" s="61">
        <f t="shared" si="1"/>
        <v>264.01343711132313</v>
      </c>
      <c r="G20" s="62">
        <f t="shared" si="2"/>
        <v>15840.806226679388</v>
      </c>
      <c r="H20" s="62">
        <f>G20*'Research Enhancing'!C19</f>
        <v>16949.662662546947</v>
      </c>
      <c r="I20" s="62">
        <v>67</v>
      </c>
      <c r="J20" s="68">
        <v>15900</v>
      </c>
      <c r="K20" s="63" t="str">
        <f t="shared" si="3"/>
        <v>4H25M</v>
      </c>
      <c r="L20" s="62">
        <f t="shared" si="22"/>
        <v>265000</v>
      </c>
      <c r="M20" s="60">
        <f t="shared" si="4"/>
        <v>2160</v>
      </c>
      <c r="N20" s="60">
        <f t="shared" si="5"/>
        <v>144720</v>
      </c>
      <c r="O20" s="62">
        <f t="shared" si="14"/>
        <v>109241.96581915698</v>
      </c>
      <c r="P20" s="68">
        <f t="shared" si="6"/>
        <v>206700</v>
      </c>
      <c r="Q20" s="63" t="str">
        <f t="shared" si="7"/>
        <v>2D9H25M</v>
      </c>
      <c r="R20" s="62">
        <f t="shared" si="8"/>
        <v>3445000</v>
      </c>
      <c r="S20" s="60">
        <f t="shared" si="9"/>
        <v>28080</v>
      </c>
      <c r="T20" s="60">
        <f t="shared" si="15"/>
        <v>1881360</v>
      </c>
      <c r="U20" s="62">
        <f>AB20*'reward percentage'!$B$3</f>
        <v>327725.89745747094</v>
      </c>
      <c r="V20" s="68">
        <f t="shared" si="10"/>
        <v>310050</v>
      </c>
      <c r="W20" s="63" t="str">
        <f t="shared" si="11"/>
        <v>3D14H7M30S</v>
      </c>
      <c r="X20" s="62">
        <f t="shared" si="16"/>
        <v>10335000</v>
      </c>
      <c r="Y20" s="60">
        <f t="shared" si="17"/>
        <v>28080</v>
      </c>
      <c r="Z20" s="60">
        <f t="shared" si="18"/>
        <v>1881360</v>
      </c>
      <c r="AA20" s="62">
        <f t="shared" si="23"/>
        <v>658775</v>
      </c>
      <c r="AB20" s="62">
        <f t="shared" si="19"/>
        <v>3277258.9745747093</v>
      </c>
      <c r="AC20" s="75">
        <f t="shared" si="12"/>
        <v>5628471.4745747093</v>
      </c>
      <c r="AD20" s="82">
        <f t="shared" si="24"/>
        <v>2351212.5</v>
      </c>
      <c r="AE20" s="64">
        <f t="shared" si="20"/>
        <v>0.35015892758430073</v>
      </c>
      <c r="AF20" s="64">
        <v>0.54460294867679815</v>
      </c>
      <c r="AG20" s="66">
        <f t="shared" si="21"/>
        <v>0.22750000000000001</v>
      </c>
    </row>
    <row r="21" spans="1:33" x14ac:dyDescent="0.3">
      <c r="A21" s="59">
        <v>19</v>
      </c>
      <c r="B21" s="66">
        <f t="shared" si="25"/>
        <v>0.50476587558415453</v>
      </c>
      <c r="C21" s="60">
        <v>0.32800000000000001</v>
      </c>
      <c r="D21" s="60">
        <f>SUM($C$3:C21)</f>
        <v>5.9040000000000008</v>
      </c>
      <c r="E21" s="61">
        <f t="shared" si="0"/>
        <v>6.1083423655693858</v>
      </c>
      <c r="F21" s="61">
        <f t="shared" si="1"/>
        <v>366.50054193416315</v>
      </c>
      <c r="G21" s="62">
        <f t="shared" si="2"/>
        <v>21990.032516049789</v>
      </c>
      <c r="H21" s="62">
        <f>G21*'Research Enhancing'!C20</f>
        <v>23969.135442494273</v>
      </c>
      <c r="I21" s="62">
        <v>68</v>
      </c>
      <c r="J21" s="68">
        <v>24000</v>
      </c>
      <c r="K21" s="63" t="str">
        <f t="shared" si="3"/>
        <v>6H40M</v>
      </c>
      <c r="L21" s="62">
        <f t="shared" si="22"/>
        <v>400000</v>
      </c>
      <c r="M21" s="60">
        <f t="shared" si="4"/>
        <v>2280</v>
      </c>
      <c r="N21" s="60">
        <f t="shared" si="5"/>
        <v>155040</v>
      </c>
      <c r="O21" s="62">
        <f t="shared" si="14"/>
        <v>137418.25530376038</v>
      </c>
      <c r="P21" s="68">
        <f t="shared" si="6"/>
        <v>312000</v>
      </c>
      <c r="Q21" s="63" t="str">
        <f t="shared" si="7"/>
        <v>3D14H40M</v>
      </c>
      <c r="R21" s="62">
        <f t="shared" si="8"/>
        <v>5200000</v>
      </c>
      <c r="S21" s="60">
        <f t="shared" si="9"/>
        <v>29640</v>
      </c>
      <c r="T21" s="60">
        <f t="shared" si="15"/>
        <v>2015520</v>
      </c>
      <c r="U21" s="62">
        <f>AB21*'reward percentage'!$B$3</f>
        <v>412254.76591128111</v>
      </c>
      <c r="V21" s="68">
        <f t="shared" si="10"/>
        <v>468000</v>
      </c>
      <c r="W21" s="63" t="str">
        <f t="shared" si="11"/>
        <v>5D10H</v>
      </c>
      <c r="X21" s="62">
        <f t="shared" si="16"/>
        <v>15600000</v>
      </c>
      <c r="Y21" s="60">
        <f t="shared" si="17"/>
        <v>29640</v>
      </c>
      <c r="Z21" s="60">
        <f t="shared" si="18"/>
        <v>2015520</v>
      </c>
      <c r="AA21" s="62">
        <f t="shared" si="23"/>
        <v>688350</v>
      </c>
      <c r="AB21" s="62">
        <f t="shared" si="19"/>
        <v>4122547.6591128111</v>
      </c>
      <c r="AC21" s="75">
        <f t="shared" si="12"/>
        <v>7874347.6591128111</v>
      </c>
      <c r="AD21" s="82">
        <f t="shared" si="24"/>
        <v>3751800</v>
      </c>
      <c r="AE21" s="64">
        <f t="shared" si="20"/>
        <v>0.34152476780185759</v>
      </c>
      <c r="AF21" s="64">
        <v>0.50476587558415453</v>
      </c>
      <c r="AG21" s="66">
        <f t="shared" si="21"/>
        <v>0.24049999999999999</v>
      </c>
    </row>
    <row r="22" spans="1:33" x14ac:dyDescent="0.3">
      <c r="A22" s="59">
        <v>20</v>
      </c>
      <c r="B22" s="66">
        <f t="shared" si="25"/>
        <v>0.46784283811405852</v>
      </c>
      <c r="C22" s="60">
        <v>0.32800000000000001</v>
      </c>
      <c r="D22" s="60">
        <f>SUM($C$3:C22)</f>
        <v>6.2320000000000011</v>
      </c>
      <c r="E22" s="61">
        <f t="shared" si="0"/>
        <v>8.4795335108516472</v>
      </c>
      <c r="F22" s="61">
        <f t="shared" si="1"/>
        <v>508.77201065109881</v>
      </c>
      <c r="G22" s="62">
        <f t="shared" si="2"/>
        <v>30526.320639065929</v>
      </c>
      <c r="H22" s="62">
        <f>G22*'Research Enhancing'!C21</f>
        <v>33273.689496581865</v>
      </c>
      <c r="I22" s="62">
        <v>69</v>
      </c>
      <c r="J22" s="68">
        <v>33300</v>
      </c>
      <c r="K22" s="63" t="str">
        <f t="shared" si="3"/>
        <v>9H15M</v>
      </c>
      <c r="L22" s="62">
        <f t="shared" si="22"/>
        <v>555000</v>
      </c>
      <c r="M22" s="60">
        <f t="shared" si="4"/>
        <v>2400</v>
      </c>
      <c r="N22" s="60">
        <f t="shared" si="5"/>
        <v>165600</v>
      </c>
      <c r="O22" s="62">
        <f t="shared" si="14"/>
        <v>154648.35769929321</v>
      </c>
      <c r="P22" s="68">
        <f t="shared" si="6"/>
        <v>432900</v>
      </c>
      <c r="Q22" s="63" t="str">
        <f t="shared" si="7"/>
        <v>5D15M</v>
      </c>
      <c r="R22" s="62">
        <f t="shared" si="8"/>
        <v>7215000</v>
      </c>
      <c r="S22" s="60">
        <f t="shared" si="9"/>
        <v>31200</v>
      </c>
      <c r="T22" s="60">
        <f t="shared" si="15"/>
        <v>2152800</v>
      </c>
      <c r="U22" s="62">
        <f>AB22*'reward percentage'!$B$3</f>
        <v>463945.07309787965</v>
      </c>
      <c r="V22" s="68">
        <f t="shared" si="10"/>
        <v>649350</v>
      </c>
      <c r="W22" s="63" t="str">
        <f t="shared" si="11"/>
        <v>7D12H22M30S</v>
      </c>
      <c r="X22" s="62">
        <f t="shared" si="16"/>
        <v>21645000</v>
      </c>
      <c r="Y22" s="60">
        <f t="shared" si="17"/>
        <v>31200</v>
      </c>
      <c r="Z22" s="60">
        <f t="shared" si="18"/>
        <v>2152800</v>
      </c>
      <c r="AA22" s="62">
        <f t="shared" si="23"/>
        <v>717925</v>
      </c>
      <c r="AB22" s="62">
        <f t="shared" si="19"/>
        <v>4639450.7309787963</v>
      </c>
      <c r="AC22" s="75">
        <f t="shared" si="12"/>
        <v>10126458.230978796</v>
      </c>
      <c r="AD22" s="82">
        <f t="shared" si="24"/>
        <v>5487007.5</v>
      </c>
      <c r="AE22" s="64">
        <f t="shared" si="20"/>
        <v>0.33348429951690822</v>
      </c>
      <c r="AF22" s="64">
        <v>0.46784283811405852</v>
      </c>
      <c r="AG22" s="66">
        <f t="shared" si="21"/>
        <v>0.2535</v>
      </c>
    </row>
    <row r="23" spans="1:33" x14ac:dyDescent="0.3">
      <c r="A23" s="59">
        <v>21</v>
      </c>
      <c r="B23" s="66">
        <f t="shared" si="25"/>
        <v>0.4336206779456232</v>
      </c>
      <c r="C23" s="60">
        <v>0.32800000000000001</v>
      </c>
      <c r="D23" s="60">
        <f>SUM($C$3:C23)</f>
        <v>6.5600000000000014</v>
      </c>
      <c r="E23" s="61">
        <f t="shared" si="0"/>
        <v>11.771194909922782</v>
      </c>
      <c r="F23" s="61">
        <f t="shared" si="1"/>
        <v>706.27169459536697</v>
      </c>
      <c r="G23" s="62">
        <f t="shared" si="2"/>
        <v>42376.301675722018</v>
      </c>
      <c r="H23" s="62">
        <f>G23*'Research Enhancing'!C22</f>
        <v>46190.168826537003</v>
      </c>
      <c r="I23" s="62">
        <v>70</v>
      </c>
      <c r="J23" s="68">
        <v>46200</v>
      </c>
      <c r="K23" s="63" t="str">
        <f t="shared" ref="K23:K28" si="26">IF(INT(J23/3600/24)=0,"",INT(J23/3600/24)&amp;"D")&amp;IF(INT(MOD(J23,3600*24)/3600)=0,"",INT(MOD(J23,3600*24)/3600)&amp;"H")&amp;IF(INT(MOD(J23,3600)/60)=0,"",INT(MOD(J23,3600)/60)&amp;"M")&amp;IF(MOD(J23,60)=0,"",INT(MOD(J23,60))&amp;"S")</f>
        <v>12H50M</v>
      </c>
      <c r="L23" s="62">
        <f t="shared" si="22"/>
        <v>770000</v>
      </c>
      <c r="M23" s="60">
        <f t="shared" si="4"/>
        <v>2520</v>
      </c>
      <c r="N23" s="60">
        <f t="shared" si="5"/>
        <v>176400</v>
      </c>
      <c r="O23" s="62">
        <f t="shared" si="14"/>
        <v>167287.79862356881</v>
      </c>
      <c r="P23" s="68">
        <f t="shared" si="6"/>
        <v>600600</v>
      </c>
      <c r="Q23" s="63" t="str">
        <f t="shared" ref="Q23:Q28" si="27">IF(INT(P23/3600/24)=0,"",INT(P23/3600/24)&amp;"D")&amp;IF(INT(MOD(P23,3600*24)/3600)=0,"",INT(MOD(P23,3600*24)/3600)&amp;"H")&amp;IF(INT(MOD(P23,3600)/60)=0,"",INT(MOD(P23,3600)/60)&amp;"M")&amp;IF(MOD(P23,60)=0,"",INT(MOD(P23,60))&amp;"S")</f>
        <v>6D22H50M</v>
      </c>
      <c r="R23" s="62">
        <f t="shared" si="8"/>
        <v>10010000</v>
      </c>
      <c r="S23" s="60">
        <f t="shared" si="9"/>
        <v>32760</v>
      </c>
      <c r="T23" s="60">
        <f t="shared" si="15"/>
        <v>2293200</v>
      </c>
      <c r="U23" s="62">
        <f>AB23*'reward percentage'!$B$3</f>
        <v>501863.39587070647</v>
      </c>
      <c r="V23" s="68">
        <f t="shared" si="10"/>
        <v>900900</v>
      </c>
      <c r="W23" s="63" t="str">
        <f t="shared" ref="W23:W28" si="28">IF(INT(V23/3600/24)=0,"",INT(V23/3600/24)&amp;"D")&amp;IF(INT(MOD(V23,3600*24)/3600)=0,"",INT(MOD(V23,3600*24)/3600)&amp;"H")&amp;IF(INT(MOD(V23,3600)/60)=0,"",INT(MOD(V23,3600)/60)&amp;"M")&amp;IF(MOD(V23,60)=0,"",INT(MOD(V23,60))&amp;"S")</f>
        <v>10D10H15M</v>
      </c>
      <c r="X23" s="62">
        <f t="shared" si="16"/>
        <v>30030000</v>
      </c>
      <c r="Y23" s="60">
        <f t="shared" si="17"/>
        <v>32760</v>
      </c>
      <c r="Z23" s="60">
        <f t="shared" si="18"/>
        <v>2293200</v>
      </c>
      <c r="AA23" s="62">
        <f t="shared" si="23"/>
        <v>747500</v>
      </c>
      <c r="AB23" s="62">
        <f t="shared" si="19"/>
        <v>5018633.9587070644</v>
      </c>
      <c r="AC23" s="75">
        <f t="shared" si="12"/>
        <v>13021628.958707064</v>
      </c>
      <c r="AD23" s="82">
        <f t="shared" si="24"/>
        <v>8002995</v>
      </c>
      <c r="AE23" s="64">
        <f t="shared" si="20"/>
        <v>0.32596371882086167</v>
      </c>
      <c r="AF23" s="64">
        <v>0.4336206779456232</v>
      </c>
      <c r="AG23" s="66">
        <f t="shared" si="21"/>
        <v>0.26650000000000001</v>
      </c>
    </row>
    <row r="24" spans="1:33" x14ac:dyDescent="0.3">
      <c r="A24" s="59">
        <v>22</v>
      </c>
      <c r="B24" s="66">
        <f t="shared" si="25"/>
        <v>0.40190182904153282</v>
      </c>
      <c r="C24" s="60">
        <v>0.32800000000000001</v>
      </c>
      <c r="D24" s="60">
        <f>SUM($C$3:C24)</f>
        <v>6.8880000000000017</v>
      </c>
      <c r="E24" s="61">
        <f t="shared" si="0"/>
        <v>16.340642964624077</v>
      </c>
      <c r="F24" s="61">
        <f t="shared" si="1"/>
        <v>980.43857787744457</v>
      </c>
      <c r="G24" s="62">
        <f t="shared" si="2"/>
        <v>58826.314672646673</v>
      </c>
      <c r="H24" s="62">
        <f>G24*'Research Enhancing'!C23</f>
        <v>65885.472433364281</v>
      </c>
      <c r="I24" s="62">
        <v>71</v>
      </c>
      <c r="J24" s="68">
        <v>66000</v>
      </c>
      <c r="K24" s="63" t="str">
        <f t="shared" si="26"/>
        <v>18H20M</v>
      </c>
      <c r="L24" s="62">
        <f t="shared" si="22"/>
        <v>1100000</v>
      </c>
      <c r="M24" s="60">
        <f t="shared" si="4"/>
        <v>2640</v>
      </c>
      <c r="N24" s="60">
        <f t="shared" si="5"/>
        <v>187440</v>
      </c>
      <c r="O24" s="62">
        <f t="shared" si="14"/>
        <v>175034.61552939191</v>
      </c>
      <c r="P24" s="68">
        <f t="shared" si="6"/>
        <v>858000</v>
      </c>
      <c r="Q24" s="63" t="str">
        <f t="shared" si="27"/>
        <v>9D22H20M</v>
      </c>
      <c r="R24" s="62">
        <f t="shared" si="8"/>
        <v>14300000</v>
      </c>
      <c r="S24" s="60">
        <f t="shared" si="9"/>
        <v>34320</v>
      </c>
      <c r="T24" s="60">
        <f t="shared" si="15"/>
        <v>2436720</v>
      </c>
      <c r="U24" s="62">
        <f>AB24*'reward percentage'!$B$3</f>
        <v>525103.84658817574</v>
      </c>
      <c r="V24" s="68">
        <f t="shared" si="10"/>
        <v>1287000</v>
      </c>
      <c r="W24" s="63" t="str">
        <f t="shared" si="28"/>
        <v>14D21H30M</v>
      </c>
      <c r="X24" s="62">
        <f t="shared" si="16"/>
        <v>42900000</v>
      </c>
      <c r="Y24" s="60">
        <f t="shared" si="17"/>
        <v>34320</v>
      </c>
      <c r="Z24" s="60">
        <f t="shared" si="18"/>
        <v>2436720</v>
      </c>
      <c r="AA24" s="62">
        <f t="shared" si="23"/>
        <v>777075</v>
      </c>
      <c r="AB24" s="62">
        <f t="shared" si="19"/>
        <v>5251038.4658817574</v>
      </c>
      <c r="AC24" s="75">
        <f t="shared" si="12"/>
        <v>17241588.465881757</v>
      </c>
      <c r="AD24" s="82">
        <f t="shared" si="24"/>
        <v>11990550</v>
      </c>
      <c r="AE24" s="64">
        <f t="shared" si="20"/>
        <v>0.31890204865556976</v>
      </c>
      <c r="AF24" s="64">
        <v>0.40190182904153282</v>
      </c>
      <c r="AG24" s="66">
        <f t="shared" si="21"/>
        <v>0.27950000000000003</v>
      </c>
    </row>
    <row r="25" spans="1:33" x14ac:dyDescent="0.3">
      <c r="A25" s="59">
        <v>23</v>
      </c>
      <c r="B25" s="66">
        <f t="shared" si="25"/>
        <v>0.37250317709061143</v>
      </c>
      <c r="C25" s="60">
        <v>0.32800000000000001</v>
      </c>
      <c r="D25" s="60">
        <f>SUM($C$3:C25)</f>
        <v>7.216000000000002</v>
      </c>
      <c r="E25" s="61">
        <f t="shared" si="0"/>
        <v>22.68390036360972</v>
      </c>
      <c r="F25" s="61">
        <f t="shared" si="1"/>
        <v>1361.0340218165832</v>
      </c>
      <c r="G25" s="62">
        <f t="shared" si="2"/>
        <v>81662.041308994987</v>
      </c>
      <c r="H25" s="62">
        <f>G25*'Research Enhancing'!C24</f>
        <v>91461.486266074397</v>
      </c>
      <c r="I25" s="62">
        <v>72</v>
      </c>
      <c r="J25" s="68">
        <v>90000</v>
      </c>
      <c r="K25" s="63" t="str">
        <f t="shared" si="26"/>
        <v>1D1H</v>
      </c>
      <c r="L25" s="62">
        <f t="shared" si="22"/>
        <v>1500000</v>
      </c>
      <c r="M25" s="60">
        <f t="shared" si="4"/>
        <v>2760</v>
      </c>
      <c r="N25" s="60">
        <f t="shared" si="5"/>
        <v>198720</v>
      </c>
      <c r="O25" s="62">
        <f t="shared" si="14"/>
        <v>156006.19532669225</v>
      </c>
      <c r="P25" s="68">
        <f t="shared" si="6"/>
        <v>1170000</v>
      </c>
      <c r="Q25" s="63" t="str">
        <f t="shared" si="27"/>
        <v>13D13H</v>
      </c>
      <c r="R25" s="62">
        <f t="shared" si="8"/>
        <v>19500000</v>
      </c>
      <c r="S25" s="60">
        <f t="shared" si="9"/>
        <v>35880</v>
      </c>
      <c r="T25" s="60">
        <f t="shared" si="15"/>
        <v>2583360</v>
      </c>
      <c r="U25" s="62">
        <f>AB25*'reward percentage'!$B$3</f>
        <v>468018.58598007675</v>
      </c>
      <c r="V25" s="68">
        <f t="shared" si="10"/>
        <v>1755000</v>
      </c>
      <c r="W25" s="63" t="str">
        <f t="shared" si="28"/>
        <v>20D7H30M</v>
      </c>
      <c r="X25" s="62">
        <f t="shared" si="16"/>
        <v>58500000</v>
      </c>
      <c r="Y25" s="60">
        <f t="shared" si="17"/>
        <v>35880</v>
      </c>
      <c r="Z25" s="60">
        <f t="shared" si="18"/>
        <v>2583360</v>
      </c>
      <c r="AA25" s="62">
        <f t="shared" si="23"/>
        <v>806650</v>
      </c>
      <c r="AB25" s="62">
        <f t="shared" si="19"/>
        <v>4680185.8598007672</v>
      </c>
      <c r="AC25" s="75">
        <f t="shared" si="12"/>
        <v>21791435.859800767</v>
      </c>
      <c r="AD25" s="82">
        <f t="shared" si="24"/>
        <v>17111250</v>
      </c>
      <c r="AE25" s="64">
        <f t="shared" si="20"/>
        <v>0.31224838969404189</v>
      </c>
      <c r="AF25" s="64">
        <v>0.37250317709061143</v>
      </c>
      <c r="AG25" s="66">
        <f t="shared" si="21"/>
        <v>0.29249999999999998</v>
      </c>
    </row>
    <row r="26" spans="1:33" x14ac:dyDescent="0.3">
      <c r="A26" s="59">
        <v>24</v>
      </c>
      <c r="B26" s="66">
        <f t="shared" si="25"/>
        <v>0.34525500238084267</v>
      </c>
      <c r="C26" s="60">
        <v>0.32800000000000001</v>
      </c>
      <c r="D26" s="60">
        <f>SUM($C$3:C26)</f>
        <v>7.5440000000000023</v>
      </c>
      <c r="E26" s="61">
        <f t="shared" si="0"/>
        <v>31.489540333274814</v>
      </c>
      <c r="F26" s="61">
        <f t="shared" si="1"/>
        <v>1889.3724199964888</v>
      </c>
      <c r="G26" s="62">
        <f t="shared" si="2"/>
        <v>113362.34519978933</v>
      </c>
      <c r="H26" s="62">
        <f>G26*'Research Enhancing'!C25</f>
        <v>126965.82662376406</v>
      </c>
      <c r="I26" s="62">
        <v>73</v>
      </c>
      <c r="J26" s="68">
        <v>129600</v>
      </c>
      <c r="K26" s="63" t="str">
        <f t="shared" si="26"/>
        <v>1D12H</v>
      </c>
      <c r="L26" s="62">
        <f t="shared" si="22"/>
        <v>2160000</v>
      </c>
      <c r="M26" s="60">
        <f t="shared" si="4"/>
        <v>2880</v>
      </c>
      <c r="N26" s="60">
        <f t="shared" si="5"/>
        <v>210240</v>
      </c>
      <c r="O26" s="62">
        <f t="shared" si="14"/>
        <v>111632.0466854062</v>
      </c>
      <c r="P26" s="68">
        <f t="shared" si="6"/>
        <v>1684800</v>
      </c>
      <c r="Q26" s="63" t="str">
        <f t="shared" si="27"/>
        <v>19D12H</v>
      </c>
      <c r="R26" s="62">
        <f t="shared" si="8"/>
        <v>28080000</v>
      </c>
      <c r="S26" s="60">
        <f t="shared" si="9"/>
        <v>37440</v>
      </c>
      <c r="T26" s="60">
        <f t="shared" si="15"/>
        <v>2733120</v>
      </c>
      <c r="U26" s="62">
        <f>AB26*'reward percentage'!$B$3</f>
        <v>334896.1400562186</v>
      </c>
      <c r="V26" s="68">
        <f t="shared" si="10"/>
        <v>2527200</v>
      </c>
      <c r="W26" s="63" t="str">
        <f t="shared" si="28"/>
        <v>29D6H</v>
      </c>
      <c r="X26" s="62">
        <f t="shared" si="16"/>
        <v>84240000</v>
      </c>
      <c r="Y26" s="60">
        <f t="shared" si="17"/>
        <v>37440</v>
      </c>
      <c r="Z26" s="60">
        <f t="shared" si="18"/>
        <v>2733120</v>
      </c>
      <c r="AA26" s="62">
        <f t="shared" si="23"/>
        <v>836225</v>
      </c>
      <c r="AB26" s="62">
        <f t="shared" si="19"/>
        <v>3348961.4005621858</v>
      </c>
      <c r="AC26" s="75">
        <f t="shared" si="12"/>
        <v>29084281.400562186</v>
      </c>
      <c r="AD26" s="82">
        <f t="shared" si="24"/>
        <v>25735320</v>
      </c>
      <c r="AE26" s="64">
        <f t="shared" si="20"/>
        <v>0.30595985540334858</v>
      </c>
      <c r="AF26" s="64">
        <v>0.34525500238084267</v>
      </c>
      <c r="AG26" s="66">
        <f t="shared" si="21"/>
        <v>0.30549999999999999</v>
      </c>
    </row>
    <row r="27" spans="1:33" x14ac:dyDescent="0.3">
      <c r="A27" s="59">
        <v>25</v>
      </c>
      <c r="B27" s="66">
        <f t="shared" si="25"/>
        <v>0.32</v>
      </c>
      <c r="C27" s="60">
        <v>0.32800000000000001</v>
      </c>
      <c r="D27" s="60">
        <f>SUM($C$3:C27)</f>
        <v>7.8720000000000026</v>
      </c>
      <c r="E27" s="61">
        <f t="shared" si="0"/>
        <v>43.713432633114778</v>
      </c>
      <c r="F27" s="61">
        <f t="shared" si="1"/>
        <v>2622.8059579868868</v>
      </c>
      <c r="G27" s="62">
        <f t="shared" si="2"/>
        <v>157368.35747921321</v>
      </c>
      <c r="H27" s="62">
        <f>G27*'Research Enhancing'!C26</f>
        <v>180973.61110109519</v>
      </c>
      <c r="I27" s="62">
        <v>74</v>
      </c>
      <c r="J27" s="68">
        <v>180000</v>
      </c>
      <c r="K27" s="63" t="str">
        <f t="shared" si="26"/>
        <v>2D2H</v>
      </c>
      <c r="L27" s="62">
        <f t="shared" si="22"/>
        <v>3000000</v>
      </c>
      <c r="M27" s="60">
        <f t="shared" si="4"/>
        <v>3000</v>
      </c>
      <c r="N27" s="60">
        <f t="shared" si="5"/>
        <v>222000</v>
      </c>
      <c r="O27" s="62">
        <f t="shared" si="14"/>
        <v>5850</v>
      </c>
      <c r="P27" s="68">
        <f t="shared" si="6"/>
        <v>2340000</v>
      </c>
      <c r="Q27" s="63" t="str">
        <f t="shared" si="27"/>
        <v>27D2H</v>
      </c>
      <c r="R27" s="62">
        <f t="shared" si="8"/>
        <v>39000000</v>
      </c>
      <c r="S27" s="60">
        <f t="shared" si="9"/>
        <v>39000</v>
      </c>
      <c r="T27" s="60">
        <f t="shared" si="15"/>
        <v>2886000</v>
      </c>
      <c r="U27" s="62">
        <f>AB27*'reward percentage'!$B$3</f>
        <v>17550</v>
      </c>
      <c r="V27" s="68">
        <f t="shared" si="10"/>
        <v>3510000</v>
      </c>
      <c r="W27" s="63" t="str">
        <f t="shared" si="28"/>
        <v>40D15H</v>
      </c>
      <c r="X27" s="62">
        <f t="shared" si="16"/>
        <v>117000000</v>
      </c>
      <c r="Y27" s="60">
        <f t="shared" si="17"/>
        <v>39000</v>
      </c>
      <c r="Z27" s="60">
        <f t="shared" si="18"/>
        <v>2886000</v>
      </c>
      <c r="AA27" s="62">
        <v>865800</v>
      </c>
      <c r="AB27" s="62">
        <f t="shared" si="19"/>
        <v>175500</v>
      </c>
      <c r="AC27" s="75">
        <f t="shared" si="12"/>
        <v>37440000</v>
      </c>
      <c r="AD27" s="82">
        <f t="shared" si="24"/>
        <v>37264500</v>
      </c>
      <c r="AE27" s="64">
        <f t="shared" si="20"/>
        <v>0.3</v>
      </c>
      <c r="AF27" s="64">
        <v>0.32</v>
      </c>
      <c r="AG27" s="66">
        <f t="shared" si="21"/>
        <v>0.31850000000000001</v>
      </c>
    </row>
    <row r="28" spans="1:33" ht="17.25" thickBot="1" x14ac:dyDescent="0.35">
      <c r="A28" s="65" t="s">
        <v>514</v>
      </c>
      <c r="B28" s="69"/>
      <c r="C28" s="70"/>
      <c r="D28" s="70"/>
      <c r="E28" s="70">
        <f>SUM(E3:E27)</f>
        <v>156.27913924950511</v>
      </c>
      <c r="F28" s="70">
        <f t="shared" ref="F28:L28" si="29">SUM(F3:F27)</f>
        <v>9376.7483549703065</v>
      </c>
      <c r="G28" s="70">
        <f t="shared" si="29"/>
        <v>562604.90129821841</v>
      </c>
      <c r="H28" s="70"/>
      <c r="I28" s="70"/>
      <c r="J28" s="71">
        <f t="shared" si="29"/>
        <v>628090</v>
      </c>
      <c r="K28" s="72" t="str">
        <f t="shared" si="26"/>
        <v>7D6H28M10S</v>
      </c>
      <c r="L28" s="70">
        <f t="shared" si="29"/>
        <v>10468166.666666668</v>
      </c>
      <c r="M28" s="70"/>
      <c r="N28" s="70"/>
      <c r="O28" s="74">
        <f>SUM(O3:O27)</f>
        <v>1608694.2255335427</v>
      </c>
      <c r="P28" s="71">
        <f>SUM(P3:P27)</f>
        <v>8165170</v>
      </c>
      <c r="Q28" s="72" t="str">
        <f t="shared" si="27"/>
        <v>94D12H6M10S</v>
      </c>
      <c r="R28" s="70">
        <f>SUM(R3:R27)</f>
        <v>136086166.66666669</v>
      </c>
      <c r="S28" s="70"/>
      <c r="T28" s="70"/>
      <c r="U28" s="74">
        <f>SUM(U3:U27)</f>
        <v>4826082.6766006285</v>
      </c>
      <c r="V28" s="71">
        <f>SUM(V3:V27)</f>
        <v>12247755</v>
      </c>
      <c r="W28" s="72" t="str">
        <f t="shared" si="28"/>
        <v>141D18H9M15S</v>
      </c>
      <c r="X28" s="74">
        <f t="shared" si="16"/>
        <v>408258500.00000006</v>
      </c>
      <c r="Y28" s="70"/>
      <c r="Z28" s="70"/>
      <c r="AA28" s="70"/>
      <c r="AB28" s="74">
        <f>SUM(AB3:AB27)</f>
        <v>48260826.766006276</v>
      </c>
      <c r="AC28" s="74">
        <f>SUM(AC3:AC27)</f>
        <v>165062092.51600629</v>
      </c>
      <c r="AD28" s="73">
        <f>SUM(AD3:AD27)</f>
        <v>116801265.75</v>
      </c>
      <c r="AE28" s="74"/>
      <c r="AF28" s="74"/>
      <c r="AG28" s="83"/>
    </row>
    <row r="29" spans="1:33" x14ac:dyDescent="0.15">
      <c r="A29" s="55"/>
      <c r="L29" s="55"/>
      <c r="M29" s="55"/>
      <c r="N29" s="55"/>
      <c r="O29" s="55"/>
      <c r="P29" s="55"/>
      <c r="V29" s="55"/>
    </row>
    <row r="30" spans="1:33" x14ac:dyDescent="0.15">
      <c r="A30" s="55"/>
      <c r="L30" s="55"/>
      <c r="M30" s="55"/>
      <c r="N30" s="55"/>
      <c r="O30" s="55"/>
      <c r="P30" s="55"/>
      <c r="V30" s="55"/>
    </row>
    <row r="31" spans="1:33" hidden="1" x14ac:dyDescent="0.15">
      <c r="A31" s="55"/>
      <c r="J31" s="2">
        <f>J28/3600/24</f>
        <v>7.2695601851851848</v>
      </c>
      <c r="L31" s="55"/>
      <c r="M31" s="55"/>
      <c r="N31" s="55"/>
      <c r="O31" s="55"/>
      <c r="P31" s="55"/>
      <c r="V31" s="55"/>
    </row>
    <row r="32" spans="1:33" hidden="1" x14ac:dyDescent="0.15">
      <c r="A32" s="55"/>
      <c r="K32" s="2">
        <f>EXP(0.3277)</f>
        <v>1.387772578059983</v>
      </c>
      <c r="L32" s="55"/>
      <c r="M32" s="55"/>
      <c r="N32" s="55"/>
      <c r="O32" s="55"/>
      <c r="P32" s="55"/>
      <c r="V32" s="55"/>
    </row>
    <row r="33" spans="1:25" hidden="1" x14ac:dyDescent="0.15">
      <c r="A33" s="55"/>
      <c r="L33" s="55"/>
      <c r="M33" s="55"/>
      <c r="N33" s="55"/>
      <c r="O33" s="55"/>
      <c r="P33" s="55"/>
      <c r="V33" s="55"/>
      <c r="Y33" s="2">
        <f>X27/Y27</f>
        <v>3000</v>
      </c>
    </row>
    <row r="34" spans="1:25" hidden="1" x14ac:dyDescent="0.15">
      <c r="A34" s="55"/>
      <c r="M34" s="55"/>
      <c r="N34" s="55"/>
      <c r="O34" s="55"/>
      <c r="P34" s="55"/>
      <c r="V34" s="55"/>
    </row>
    <row r="35" spans="1:25" hidden="1" x14ac:dyDescent="0.15">
      <c r="A35" s="55"/>
      <c r="K35" s="67"/>
      <c r="M35" s="55"/>
      <c r="N35" s="55"/>
      <c r="O35" s="55"/>
      <c r="P35" s="55"/>
      <c r="V35" s="55"/>
    </row>
    <row r="36" spans="1:25" hidden="1" x14ac:dyDescent="0.15">
      <c r="A36" s="55"/>
      <c r="M36" s="55"/>
      <c r="N36" s="55"/>
      <c r="O36" s="55"/>
      <c r="P36" s="55"/>
      <c r="V36" s="55"/>
    </row>
    <row r="37" spans="1:25" hidden="1" x14ac:dyDescent="0.15">
      <c r="A37" s="55"/>
      <c r="M37" s="55"/>
      <c r="N37" s="55"/>
      <c r="O37" s="55"/>
      <c r="P37" s="55"/>
      <c r="S37" s="2">
        <f>LN(0.32)</f>
        <v>-1.1394342831883648</v>
      </c>
      <c r="V37" s="55"/>
      <c r="Y37" s="2">
        <f>LN(0.25)</f>
        <v>-1.3862943611198906</v>
      </c>
    </row>
    <row r="38" spans="1:25" hidden="1" x14ac:dyDescent="0.15">
      <c r="S38" s="2">
        <f>S37/15</f>
        <v>-7.596228554589099E-2</v>
      </c>
      <c r="Y38" s="2">
        <f>Y37/15</f>
        <v>-9.2419624074659368E-2</v>
      </c>
    </row>
    <row r="39" spans="1:25" hidden="1" x14ac:dyDescent="0.15">
      <c r="Q39" s="2">
        <f>LN(40)/29</f>
        <v>0.12720273979703228</v>
      </c>
      <c r="W39" s="2">
        <f>LN(40)/29</f>
        <v>0.12720273979703228</v>
      </c>
    </row>
    <row r="40" spans="1:25" hidden="1" x14ac:dyDescent="0.15">
      <c r="Q40" s="2">
        <f>EXP(Q39)</f>
        <v>1.1356472353335598</v>
      </c>
      <c r="S40" s="2">
        <f>LN(10)/9</f>
        <v>0.25584278811044953</v>
      </c>
      <c r="W40" s="2">
        <f>EXP(W39)</f>
        <v>1.1356472353335598</v>
      </c>
      <c r="Y40" s="2">
        <f>LN(10)/9</f>
        <v>0.25584278811044953</v>
      </c>
    </row>
    <row r="41" spans="1:25" hidden="1" x14ac:dyDescent="0.15"/>
  </sheetData>
  <mergeCells count="3">
    <mergeCell ref="C1:M1"/>
    <mergeCell ref="P1:U1"/>
    <mergeCell ref="V1:AG1"/>
  </mergeCells>
  <phoneticPr fontId="2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abSelected="1" zoomScaleNormal="100" workbookViewId="0">
      <selection activeCell="J12" sqref="J12"/>
    </sheetView>
  </sheetViews>
  <sheetFormatPr defaultRowHeight="16.5" x14ac:dyDescent="0.15"/>
  <cols>
    <col min="1" max="1" width="7.875" style="2" customWidth="1"/>
    <col min="2" max="2" width="9.125" style="2" customWidth="1"/>
    <col min="3" max="3" width="14.375" style="2" customWidth="1"/>
    <col min="4" max="4" width="8.75" style="2" bestFit="1" customWidth="1"/>
    <col min="5" max="5" width="11" style="2" customWidth="1"/>
    <col min="6" max="6" width="11" style="2" hidden="1" customWidth="1"/>
    <col min="7" max="7" width="11" style="2" customWidth="1"/>
    <col min="8" max="8" width="12.25" style="2" bestFit="1" customWidth="1"/>
    <col min="9" max="9" width="14.625" style="2" bestFit="1" customWidth="1"/>
    <col min="10" max="10" width="10.5" style="2" bestFit="1" customWidth="1"/>
    <col min="11" max="11" width="12.875" style="2" bestFit="1" customWidth="1"/>
    <col min="12" max="14" width="11.125" style="2" bestFit="1" customWidth="1"/>
    <col min="15" max="15" width="15.625" style="2" bestFit="1" customWidth="1"/>
    <col min="16" max="16" width="10.875" style="2" customWidth="1"/>
    <col min="17" max="17" width="10.625" style="2" customWidth="1"/>
    <col min="18" max="18" width="8.75" style="2" bestFit="1" customWidth="1"/>
    <col min="19" max="19" width="9.5" style="2" bestFit="1" customWidth="1"/>
    <col min="20" max="20" width="9" style="2" customWidth="1"/>
    <col min="21" max="21" width="11.375" style="2" customWidth="1"/>
    <col min="22" max="22" width="12.25" style="2" bestFit="1" customWidth="1"/>
    <col min="23" max="23" width="12.25" style="2" customWidth="1"/>
    <col min="24" max="24" width="11.625" style="2" customWidth="1"/>
    <col min="25" max="25" width="11.125" style="2" customWidth="1"/>
    <col min="26" max="26" width="10.125" style="2" customWidth="1"/>
    <col min="27" max="16384" width="9" style="2"/>
  </cols>
  <sheetData>
    <row r="1" spans="1:25" s="93" customFormat="1" ht="27" customHeight="1" thickBot="1" x14ac:dyDescent="0.2">
      <c r="A1" s="90"/>
      <c r="B1" s="179" t="s">
        <v>624</v>
      </c>
      <c r="C1" s="173"/>
      <c r="D1" s="173"/>
      <c r="E1" s="173"/>
      <c r="F1" s="173"/>
      <c r="G1" s="180"/>
      <c r="H1" s="174" t="s">
        <v>519</v>
      </c>
      <c r="I1" s="175"/>
      <c r="J1" s="175"/>
      <c r="K1" s="175"/>
      <c r="L1" s="175"/>
      <c r="M1" s="175"/>
      <c r="N1" s="176" t="s">
        <v>520</v>
      </c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8"/>
    </row>
    <row r="2" spans="1:25" s="1" customFormat="1" ht="49.5" x14ac:dyDescent="0.15">
      <c r="A2" s="56" t="s">
        <v>1</v>
      </c>
      <c r="B2" s="56" t="s">
        <v>607</v>
      </c>
      <c r="C2" s="57" t="s">
        <v>513</v>
      </c>
      <c r="D2" s="57" t="s">
        <v>515</v>
      </c>
      <c r="E2" s="57" t="s">
        <v>517</v>
      </c>
      <c r="F2" s="57" t="s">
        <v>608</v>
      </c>
      <c r="G2" s="57" t="s">
        <v>518</v>
      </c>
      <c r="H2" s="56" t="s">
        <v>607</v>
      </c>
      <c r="I2" s="57" t="s">
        <v>513</v>
      </c>
      <c r="J2" s="57" t="s">
        <v>515</v>
      </c>
      <c r="K2" s="57" t="s">
        <v>517</v>
      </c>
      <c r="L2" s="57" t="s">
        <v>608</v>
      </c>
      <c r="M2" s="57" t="s">
        <v>518</v>
      </c>
      <c r="N2" s="56" t="s">
        <v>607</v>
      </c>
      <c r="O2" s="57" t="s">
        <v>513</v>
      </c>
      <c r="P2" s="57" t="s">
        <v>515</v>
      </c>
      <c r="Q2" s="57" t="s">
        <v>517</v>
      </c>
      <c r="R2" s="57" t="s">
        <v>608</v>
      </c>
      <c r="S2" s="57" t="s">
        <v>619</v>
      </c>
      <c r="T2" s="57" t="s">
        <v>518</v>
      </c>
      <c r="U2" s="58" t="s">
        <v>510</v>
      </c>
      <c r="V2" s="56" t="s">
        <v>521</v>
      </c>
      <c r="W2" s="57" t="s">
        <v>618</v>
      </c>
      <c r="X2" s="57" t="s">
        <v>585</v>
      </c>
      <c r="Y2" s="58" t="s">
        <v>522</v>
      </c>
    </row>
    <row r="3" spans="1:25" x14ac:dyDescent="0.3">
      <c r="A3" s="59">
        <v>1</v>
      </c>
      <c r="B3" s="82">
        <f>'table (no research)'!J3/'Research Enhancing'!C2</f>
        <v>59.405940594059409</v>
      </c>
      <c r="C3" s="63" t="str">
        <f t="shared" ref="C3:C28" si="0">IF(INT(B3/3600/24)=0,"",INT(B3/3600/24)&amp;"D")&amp;IF(INT(MOD(B3,3600*24)/3600)=0,"",INT(MOD(B3,3600*24)/3600)&amp;"H")&amp;IF(INT(MOD(B3,3600)/60)=0,"",INT(MOD(B3,3600)/60)&amp;"M")&amp;IF(MOD(B3,60)=0,"",INT(MOD(B3,60))&amp;"S")</f>
        <v>59S</v>
      </c>
      <c r="D3" s="62">
        <v>1000</v>
      </c>
      <c r="E3" s="62">
        <f>'table (no research)'!M3*'Research Enhancing'!C2</f>
        <v>121.2</v>
      </c>
      <c r="F3" s="62">
        <f>'table (no research)'!N3*'Research Enhancing'!C2</f>
        <v>6060</v>
      </c>
      <c r="G3" s="62">
        <f>'table (no research)'!O3</f>
        <v>12983.1</v>
      </c>
      <c r="H3" s="82">
        <f t="shared" ref="H3:H27" si="1">B3*13</f>
        <v>772.2772277227723</v>
      </c>
      <c r="I3" s="63" t="str">
        <f t="shared" ref="I3:I28" si="2">IF(INT(H3/3600/24)=0,"",INT(H3/3600/24)&amp;"D")&amp;IF(INT(MOD(H3,3600*24)/3600)=0,"",INT(MOD(H3,3600*24)/3600)&amp;"H")&amp;IF(INT(MOD(H3,3600)/60)=0,"",INT(MOD(H3,3600)/60)&amp;"M")&amp;IF(MOD(H3,60)=0,"",INT(MOD(H3,60))&amp;"S")</f>
        <v>12M52S</v>
      </c>
      <c r="J3" s="62">
        <f t="shared" ref="J3:L27" si="3">D3*13</f>
        <v>13000</v>
      </c>
      <c r="K3" s="62">
        <f t="shared" si="3"/>
        <v>1575.6000000000001</v>
      </c>
      <c r="L3" s="62">
        <f>F3*13</f>
        <v>78780</v>
      </c>
      <c r="M3" s="62">
        <f>'table (no research)'!U3</f>
        <v>38949.300000000003</v>
      </c>
      <c r="N3" s="82">
        <f t="shared" ref="N3:N27" si="4">H3*1.5</f>
        <v>1158.4158415841584</v>
      </c>
      <c r="O3" s="63" t="str">
        <f t="shared" ref="O3:O28" si="5">IF(INT(N3/3600/24)=0,"",INT(N3/3600/24)&amp;"D")&amp;IF(INT(MOD(N3,3600*24)/3600)=0,"",INT(MOD(N3,3600*24)/3600)&amp;"H")&amp;IF(INT(MOD(N3,3600)/60)=0,"",INT(MOD(N3,3600)/60)&amp;"M")&amp;IF(MOD(N3,60)=0,"",INT(MOD(N3,60))&amp;"S")</f>
        <v>19M18S</v>
      </c>
      <c r="P3" s="62">
        <f>J3*3</f>
        <v>39000</v>
      </c>
      <c r="Q3" s="62">
        <f>K3</f>
        <v>1575.6000000000001</v>
      </c>
      <c r="R3" s="62">
        <f>L3</f>
        <v>78780</v>
      </c>
      <c r="S3" s="62">
        <f>'table (no research)'!AA3*'Research Enhancing'!C2</f>
        <v>157560</v>
      </c>
      <c r="T3" s="62">
        <f>'table (no research)'!AB3</f>
        <v>389493</v>
      </c>
      <c r="U3" s="75">
        <f>T3+V3</f>
        <v>390000</v>
      </c>
      <c r="V3" s="82">
        <f>Q3*N3/3600</f>
        <v>507.00000000000006</v>
      </c>
      <c r="W3" s="64">
        <f>S3/R3</f>
        <v>2</v>
      </c>
      <c r="X3" s="64">
        <f>U3/P3</f>
        <v>10</v>
      </c>
      <c r="Y3" s="138">
        <f>V3/P3</f>
        <v>1.3000000000000001E-2</v>
      </c>
    </row>
    <row r="4" spans="1:25" x14ac:dyDescent="0.3">
      <c r="A4" s="59">
        <v>2</v>
      </c>
      <c r="B4" s="82">
        <f>'table (no research)'!J4/'Research Enhancing'!C3</f>
        <v>79.207920792079207</v>
      </c>
      <c r="C4" s="63" t="str">
        <f t="shared" si="0"/>
        <v>1M19S</v>
      </c>
      <c r="D4" s="62">
        <f>B4*1000/60</f>
        <v>1320.1320132013202</v>
      </c>
      <c r="E4" s="62">
        <f>'table (no research)'!M4*'Research Enhancing'!C3</f>
        <v>242.4</v>
      </c>
      <c r="F4" s="62">
        <f>'table (no research)'!N4*'Research Enhancing'!C3</f>
        <v>12362.4</v>
      </c>
      <c r="G4" s="62">
        <f>'table (no research)'!O4</f>
        <v>13386.770499806204</v>
      </c>
      <c r="H4" s="82">
        <f t="shared" si="1"/>
        <v>1029.7029702970297</v>
      </c>
      <c r="I4" s="63" t="str">
        <f t="shared" si="2"/>
        <v>17M9S</v>
      </c>
      <c r="J4" s="62">
        <f t="shared" si="3"/>
        <v>17161.716171617161</v>
      </c>
      <c r="K4" s="62">
        <f t="shared" si="3"/>
        <v>3151.2000000000003</v>
      </c>
      <c r="L4" s="62">
        <f t="shared" si="3"/>
        <v>160711.19999999998</v>
      </c>
      <c r="M4" s="62">
        <f>'table (no research)'!U4</f>
        <v>40160.311499418611</v>
      </c>
      <c r="N4" s="82">
        <f t="shared" si="4"/>
        <v>1544.5544554455446</v>
      </c>
      <c r="O4" s="63" t="str">
        <f t="shared" si="5"/>
        <v>25M44S</v>
      </c>
      <c r="P4" s="62">
        <f t="shared" ref="P4:P28" si="6">J4*3</f>
        <v>51485.148514851484</v>
      </c>
      <c r="Q4" s="62">
        <f t="shared" ref="Q4:R27" si="7">K4</f>
        <v>3151.2000000000003</v>
      </c>
      <c r="R4" s="62">
        <f t="shared" si="7"/>
        <v>160711.19999999998</v>
      </c>
      <c r="S4" s="62">
        <f>'table (no research)'!AA4*'Research Enhancing'!C3</f>
        <v>187430.75</v>
      </c>
      <c r="T4" s="62">
        <f>'table (no research)'!AB4</f>
        <v>401603.11499418609</v>
      </c>
      <c r="U4" s="75">
        <f t="shared" ref="U4:U27" si="8">T4+V4</f>
        <v>402617.11499418609</v>
      </c>
      <c r="V4" s="82">
        <f>(Q4+Q3)/2*N4/3600</f>
        <v>1014</v>
      </c>
      <c r="W4" s="64">
        <f t="shared" ref="W4:W27" si="9">S4/R4</f>
        <v>1.1662581699346406</v>
      </c>
      <c r="X4" s="64">
        <f t="shared" ref="X4:X27" si="10">U4/P4</f>
        <v>7.820063195079384</v>
      </c>
      <c r="Y4" s="138">
        <f t="shared" ref="Y4:Y27" si="11">V4/P4</f>
        <v>1.9695000000000001E-2</v>
      </c>
    </row>
    <row r="5" spans="1:25" x14ac:dyDescent="0.3">
      <c r="A5" s="59">
        <v>3</v>
      </c>
      <c r="B5" s="82">
        <f>'table (no research)'!J5/'Research Enhancing'!C4</f>
        <v>118.81188118811882</v>
      </c>
      <c r="C5" s="63" t="str">
        <f t="shared" si="0"/>
        <v>1M58S</v>
      </c>
      <c r="D5" s="62">
        <f t="shared" ref="D5:D27" si="12">B5*1000/60</f>
        <v>1980.1980198019803</v>
      </c>
      <c r="E5" s="62">
        <f>'table (no research)'!M5*'Research Enhancing'!C4</f>
        <v>363.6</v>
      </c>
      <c r="F5" s="62">
        <f>'table (no research)'!N5*'Research Enhancing'!C4</f>
        <v>18907.2</v>
      </c>
      <c r="G5" s="62">
        <f>'table (no research)'!O5</f>
        <v>15502.090508292467</v>
      </c>
      <c r="H5" s="82">
        <f t="shared" si="1"/>
        <v>1544.5544554455446</v>
      </c>
      <c r="I5" s="63" t="str">
        <f t="shared" si="2"/>
        <v>25M44S</v>
      </c>
      <c r="J5" s="62">
        <f t="shared" si="3"/>
        <v>25742.574257425746</v>
      </c>
      <c r="K5" s="62">
        <f t="shared" si="3"/>
        <v>4726.8</v>
      </c>
      <c r="L5" s="62">
        <f t="shared" si="3"/>
        <v>245793.6</v>
      </c>
      <c r="M5" s="62">
        <f>'table (no research)'!U5</f>
        <v>46506.271524877404</v>
      </c>
      <c r="N5" s="82">
        <f t="shared" si="4"/>
        <v>2316.8316831683169</v>
      </c>
      <c r="O5" s="63" t="str">
        <f t="shared" si="5"/>
        <v>38M36S</v>
      </c>
      <c r="P5" s="62">
        <f t="shared" si="6"/>
        <v>77227.722772277237</v>
      </c>
      <c r="Q5" s="62">
        <f t="shared" si="7"/>
        <v>4726.8</v>
      </c>
      <c r="R5" s="62">
        <f t="shared" si="7"/>
        <v>245793.6</v>
      </c>
      <c r="S5" s="62">
        <f>'table (no research)'!AA5*'Research Enhancing'!C4</f>
        <v>217301.5</v>
      </c>
      <c r="T5" s="62">
        <f>'table (no research)'!AB5</f>
        <v>465062.71524877398</v>
      </c>
      <c r="U5" s="75">
        <f t="shared" si="8"/>
        <v>467597.71524877398</v>
      </c>
      <c r="V5" s="82">
        <f t="shared" ref="V5:V27" si="13">(Q5+Q4)/2*N5/3600</f>
        <v>2535</v>
      </c>
      <c r="W5" s="64">
        <f t="shared" si="9"/>
        <v>0.88408119658119655</v>
      </c>
      <c r="X5" s="64">
        <f t="shared" si="10"/>
        <v>6.054790928221303</v>
      </c>
      <c r="Y5" s="138">
        <f t="shared" si="11"/>
        <v>3.2824999999999993E-2</v>
      </c>
    </row>
    <row r="6" spans="1:25" x14ac:dyDescent="0.3">
      <c r="A6" s="59">
        <v>4</v>
      </c>
      <c r="B6" s="82">
        <f>'table (no research)'!J6/'Research Enhancing'!C5</f>
        <v>156.86274509803923</v>
      </c>
      <c r="C6" s="63" t="str">
        <f t="shared" si="0"/>
        <v>2M36S</v>
      </c>
      <c r="D6" s="62">
        <f t="shared" si="12"/>
        <v>2614.3790849673201</v>
      </c>
      <c r="E6" s="62">
        <f>'table (no research)'!M6*'Research Enhancing'!C5</f>
        <v>489.6</v>
      </c>
      <c r="F6" s="62">
        <f>'table (no research)'!N6*'Research Enhancing'!C5</f>
        <v>25948.799999999999</v>
      </c>
      <c r="G6" s="62">
        <f>'table (no research)'!O6</f>
        <v>15933.107956524304</v>
      </c>
      <c r="H6" s="82">
        <f t="shared" si="1"/>
        <v>2039.2156862745101</v>
      </c>
      <c r="I6" s="63" t="str">
        <f t="shared" si="2"/>
        <v>33M59S</v>
      </c>
      <c r="J6" s="62">
        <f t="shared" si="3"/>
        <v>33986.928104575163</v>
      </c>
      <c r="K6" s="62">
        <f t="shared" si="3"/>
        <v>6364.8</v>
      </c>
      <c r="L6" s="62">
        <f t="shared" si="3"/>
        <v>337334.39999999997</v>
      </c>
      <c r="M6" s="62">
        <f>'table (no research)'!U6</f>
        <v>47799.323869572909</v>
      </c>
      <c r="N6" s="82">
        <f t="shared" si="4"/>
        <v>3058.8235294117649</v>
      </c>
      <c r="O6" s="63" t="str">
        <f t="shared" si="5"/>
        <v>50M58S</v>
      </c>
      <c r="P6" s="62">
        <f t="shared" si="6"/>
        <v>101960.78431372548</v>
      </c>
      <c r="Q6" s="62">
        <f t="shared" si="7"/>
        <v>6364.8</v>
      </c>
      <c r="R6" s="62">
        <f t="shared" si="7"/>
        <v>337334.39999999997</v>
      </c>
      <c r="S6" s="62">
        <f>'table (no research)'!AA6*'Research Enhancing'!C5</f>
        <v>249619.5</v>
      </c>
      <c r="T6" s="62">
        <f>'table (no research)'!AB6</f>
        <v>477993.23869572906</v>
      </c>
      <c r="U6" s="75">
        <f t="shared" si="8"/>
        <v>482705.35634278785</v>
      </c>
      <c r="V6" s="82">
        <f t="shared" si="13"/>
        <v>4712.1176470588243</v>
      </c>
      <c r="W6" s="64">
        <f t="shared" si="9"/>
        <v>0.73997641509433965</v>
      </c>
      <c r="X6" s="64">
        <f t="shared" si="10"/>
        <v>4.7342256102850353</v>
      </c>
      <c r="Y6" s="138">
        <f t="shared" si="11"/>
        <v>4.6215000000000013E-2</v>
      </c>
    </row>
    <row r="7" spans="1:25" x14ac:dyDescent="0.3">
      <c r="A7" s="59">
        <v>5</v>
      </c>
      <c r="B7" s="82">
        <f>'table (no research)'!J7/'Research Enhancing'!C6</f>
        <v>235.29411764705881</v>
      </c>
      <c r="C7" s="63" t="str">
        <f t="shared" si="0"/>
        <v>3M55S</v>
      </c>
      <c r="D7" s="62">
        <f t="shared" si="12"/>
        <v>3921.5686274509803</v>
      </c>
      <c r="E7" s="62">
        <f>'table (no research)'!M7*'Research Enhancing'!C6</f>
        <v>612</v>
      </c>
      <c r="F7" s="62">
        <f>'table (no research)'!N7*'Research Enhancing'!C6</f>
        <v>33048</v>
      </c>
      <c r="G7" s="62">
        <f>'table (no research)'!O7</f>
        <v>18383.631051784065</v>
      </c>
      <c r="H7" s="82">
        <f t="shared" si="1"/>
        <v>3058.8235294117644</v>
      </c>
      <c r="I7" s="63" t="str">
        <f t="shared" si="2"/>
        <v>50M58S</v>
      </c>
      <c r="J7" s="62">
        <f t="shared" si="3"/>
        <v>50980.392156862741</v>
      </c>
      <c r="K7" s="62">
        <f t="shared" si="3"/>
        <v>7956</v>
      </c>
      <c r="L7" s="62">
        <f t="shared" si="3"/>
        <v>429624</v>
      </c>
      <c r="M7" s="62">
        <f>'table (no research)'!U7</f>
        <v>55150.893155352191</v>
      </c>
      <c r="N7" s="82">
        <f t="shared" si="4"/>
        <v>4588.2352941176468</v>
      </c>
      <c r="O7" s="63" t="str">
        <f t="shared" si="5"/>
        <v>1H16M28S</v>
      </c>
      <c r="P7" s="62">
        <f t="shared" si="6"/>
        <v>152941.17647058822</v>
      </c>
      <c r="Q7" s="62">
        <f t="shared" si="7"/>
        <v>7956</v>
      </c>
      <c r="R7" s="62">
        <f t="shared" si="7"/>
        <v>429624</v>
      </c>
      <c r="S7" s="62">
        <f>'table (no research)'!AA7*'Research Enhancing'!C6</f>
        <v>279786</v>
      </c>
      <c r="T7" s="62">
        <f>'table (no research)'!AB7</f>
        <v>551508.93155352189</v>
      </c>
      <c r="U7" s="75">
        <f t="shared" si="8"/>
        <v>560634.93155352189</v>
      </c>
      <c r="V7" s="82">
        <f t="shared" si="13"/>
        <v>9125.9999999999982</v>
      </c>
      <c r="W7" s="64">
        <f t="shared" si="9"/>
        <v>0.65123456790123457</v>
      </c>
      <c r="X7" s="64">
        <f t="shared" si="10"/>
        <v>3.6656899370807206</v>
      </c>
      <c r="Y7" s="138">
        <f t="shared" si="11"/>
        <v>5.9669999999999994E-2</v>
      </c>
    </row>
    <row r="8" spans="1:25" x14ac:dyDescent="0.3">
      <c r="A8" s="59">
        <v>6</v>
      </c>
      <c r="B8" s="82">
        <f>'table (no research)'!J8/'Research Enhancing'!C7</f>
        <v>294.11764705882354</v>
      </c>
      <c r="C8" s="63" t="str">
        <f t="shared" si="0"/>
        <v>4M54S</v>
      </c>
      <c r="D8" s="62">
        <f t="shared" si="12"/>
        <v>4901.9607843137255</v>
      </c>
      <c r="E8" s="62">
        <f>'table (no research)'!M8*'Research Enhancing'!C7</f>
        <v>734.4</v>
      </c>
      <c r="F8" s="62">
        <f>'table (no research)'!N8*'Research Enhancing'!C7</f>
        <v>40392</v>
      </c>
      <c r="G8" s="62">
        <f>'table (no research)'!O8</f>
        <v>17621.886114346311</v>
      </c>
      <c r="H8" s="82">
        <f t="shared" si="1"/>
        <v>3823.5294117647059</v>
      </c>
      <c r="I8" s="63" t="str">
        <f t="shared" si="2"/>
        <v>1H3M43S</v>
      </c>
      <c r="J8" s="62">
        <f t="shared" si="3"/>
        <v>63725.490196078434</v>
      </c>
      <c r="K8" s="62">
        <f t="shared" si="3"/>
        <v>9547.1999999999989</v>
      </c>
      <c r="L8" s="62">
        <f t="shared" si="3"/>
        <v>525096</v>
      </c>
      <c r="M8" s="62">
        <f>'table (no research)'!U8</f>
        <v>52865.658343038929</v>
      </c>
      <c r="N8" s="82">
        <f t="shared" si="4"/>
        <v>5735.2941176470586</v>
      </c>
      <c r="O8" s="63" t="str">
        <f t="shared" si="5"/>
        <v>1H35M35S</v>
      </c>
      <c r="P8" s="62">
        <f t="shared" si="6"/>
        <v>191176.4705882353</v>
      </c>
      <c r="Q8" s="62">
        <f t="shared" si="7"/>
        <v>9547.1999999999989</v>
      </c>
      <c r="R8" s="62">
        <f t="shared" si="7"/>
        <v>525096</v>
      </c>
      <c r="S8" s="62">
        <f>'table (no research)'!AA8*'Research Enhancing'!C7</f>
        <v>309952.5</v>
      </c>
      <c r="T8" s="62">
        <f>'table (no research)'!AB8</f>
        <v>528656.58343038929</v>
      </c>
      <c r="U8" s="75">
        <f t="shared" si="8"/>
        <v>542599.08343038929</v>
      </c>
      <c r="V8" s="82">
        <f t="shared" si="13"/>
        <v>13942.499999999998</v>
      </c>
      <c r="W8" s="64">
        <f t="shared" si="9"/>
        <v>0.59027777777777779</v>
      </c>
      <c r="X8" s="64">
        <f t="shared" si="10"/>
        <v>2.8382105902512671</v>
      </c>
      <c r="Y8" s="138">
        <f t="shared" si="11"/>
        <v>7.2929999999999981E-2</v>
      </c>
    </row>
    <row r="9" spans="1:25" x14ac:dyDescent="0.3">
      <c r="A9" s="59">
        <v>7</v>
      </c>
      <c r="B9" s="82">
        <f>'table (no research)'!J9/'Research Enhancing'!C8</f>
        <v>436.89320388349512</v>
      </c>
      <c r="C9" s="63" t="str">
        <f t="shared" si="0"/>
        <v>7M16S</v>
      </c>
      <c r="D9" s="62">
        <f t="shared" si="12"/>
        <v>7281.5533980582522</v>
      </c>
      <c r="E9" s="62">
        <f>'table (no research)'!M9*'Research Enhancing'!C8</f>
        <v>865.2</v>
      </c>
      <c r="F9" s="62">
        <f>'table (no research)'!N9*'Research Enhancing'!C8</f>
        <v>48451.200000000004</v>
      </c>
      <c r="G9" s="62">
        <f>'table (no research)'!O9</f>
        <v>20181.863227810867</v>
      </c>
      <c r="H9" s="82">
        <f t="shared" si="1"/>
        <v>5679.6116504854363</v>
      </c>
      <c r="I9" s="63" t="str">
        <f t="shared" si="2"/>
        <v>1H34M39S</v>
      </c>
      <c r="J9" s="62">
        <f t="shared" si="3"/>
        <v>94660.194174757286</v>
      </c>
      <c r="K9" s="62">
        <f t="shared" si="3"/>
        <v>11247.6</v>
      </c>
      <c r="L9" s="62">
        <f t="shared" si="3"/>
        <v>629865.60000000009</v>
      </c>
      <c r="M9" s="62">
        <f>'table (no research)'!U9</f>
        <v>60545.589683432598</v>
      </c>
      <c r="N9" s="82">
        <f t="shared" si="4"/>
        <v>8519.4174757281544</v>
      </c>
      <c r="O9" s="63" t="str">
        <f t="shared" si="5"/>
        <v>2H21M59S</v>
      </c>
      <c r="P9" s="62">
        <f t="shared" si="6"/>
        <v>283980.58252427186</v>
      </c>
      <c r="Q9" s="62">
        <f t="shared" si="7"/>
        <v>11247.6</v>
      </c>
      <c r="R9" s="62">
        <f t="shared" si="7"/>
        <v>629865.60000000009</v>
      </c>
      <c r="S9" s="62">
        <f>'table (no research)'!AA9*'Research Enhancing'!C8</f>
        <v>343453.5</v>
      </c>
      <c r="T9" s="62">
        <f>'table (no research)'!AB9</f>
        <v>605455.89683432598</v>
      </c>
      <c r="U9" s="75">
        <f t="shared" si="8"/>
        <v>630061.39440714149</v>
      </c>
      <c r="V9" s="82">
        <f t="shared" si="13"/>
        <v>24605.49757281553</v>
      </c>
      <c r="W9" s="64">
        <f t="shared" si="9"/>
        <v>0.54528061224489788</v>
      </c>
      <c r="X9" s="64">
        <f t="shared" si="10"/>
        <v>2.21867773073284</v>
      </c>
      <c r="Y9" s="138">
        <f t="shared" si="11"/>
        <v>8.6644999999999986E-2</v>
      </c>
    </row>
    <row r="10" spans="1:25" x14ac:dyDescent="0.3">
      <c r="A10" s="59">
        <v>8</v>
      </c>
      <c r="B10" s="82">
        <f>'table (no research)'!J10/'Research Enhancing'!C9</f>
        <v>601.94174757281553</v>
      </c>
      <c r="C10" s="63" t="str">
        <f t="shared" si="0"/>
        <v>10M1S</v>
      </c>
      <c r="D10" s="62">
        <f t="shared" si="12"/>
        <v>10032.362459546925</v>
      </c>
      <c r="E10" s="62">
        <f>'table (no research)'!M10*'Research Enhancing'!C9</f>
        <v>988.80000000000007</v>
      </c>
      <c r="F10" s="62">
        <f>'table (no research)'!N10*'Research Enhancing'!C9</f>
        <v>56361.599999999999</v>
      </c>
      <c r="G10" s="62">
        <f>'table (no research)'!O10</f>
        <v>21098.400549720791</v>
      </c>
      <c r="H10" s="82">
        <f t="shared" si="1"/>
        <v>7825.2427184466014</v>
      </c>
      <c r="I10" s="63" t="str">
        <f t="shared" si="2"/>
        <v>2H10M25S</v>
      </c>
      <c r="J10" s="62">
        <f t="shared" si="3"/>
        <v>130420.71197411002</v>
      </c>
      <c r="K10" s="62">
        <f t="shared" si="3"/>
        <v>12854.400000000001</v>
      </c>
      <c r="L10" s="62">
        <f t="shared" si="3"/>
        <v>732700.79999999993</v>
      </c>
      <c r="M10" s="62">
        <f>'table (no research)'!U10</f>
        <v>63295.201649162373</v>
      </c>
      <c r="N10" s="82">
        <f t="shared" si="4"/>
        <v>11737.864077669903</v>
      </c>
      <c r="O10" s="63" t="str">
        <f t="shared" si="5"/>
        <v>3H15M37S</v>
      </c>
      <c r="P10" s="62">
        <f t="shared" si="6"/>
        <v>391262.13592233008</v>
      </c>
      <c r="Q10" s="62">
        <f t="shared" si="7"/>
        <v>12854.400000000001</v>
      </c>
      <c r="R10" s="62">
        <f t="shared" si="7"/>
        <v>732700.79999999993</v>
      </c>
      <c r="S10" s="62">
        <f>'table (no research)'!AA10*'Research Enhancing'!C9</f>
        <v>373915.75</v>
      </c>
      <c r="T10" s="62">
        <f>'table (no research)'!AB10</f>
        <v>632952.01649162371</v>
      </c>
      <c r="U10" s="75">
        <f t="shared" si="8"/>
        <v>672244.51649162371</v>
      </c>
      <c r="V10" s="82">
        <f t="shared" si="13"/>
        <v>39292.5</v>
      </c>
      <c r="W10" s="64">
        <f t="shared" si="9"/>
        <v>0.51032529239766089</v>
      </c>
      <c r="X10" s="64">
        <f t="shared" si="10"/>
        <v>1.7181435533160607</v>
      </c>
      <c r="Y10" s="138">
        <f t="shared" si="11"/>
        <v>0.100425</v>
      </c>
    </row>
    <row r="11" spans="1:25" x14ac:dyDescent="0.3">
      <c r="A11" s="59">
        <v>9</v>
      </c>
      <c r="B11" s="82">
        <f>'table (no research)'!J11/'Research Enhancing'!C10</f>
        <v>834.95145631067965</v>
      </c>
      <c r="C11" s="63" t="str">
        <f t="shared" si="0"/>
        <v>13M54S</v>
      </c>
      <c r="D11" s="62">
        <f t="shared" si="12"/>
        <v>13915.857605177995</v>
      </c>
      <c r="E11" s="62">
        <f>'table (no research)'!M11*'Research Enhancing'!C10</f>
        <v>1112.4000000000001</v>
      </c>
      <c r="F11" s="62">
        <f>'table (no research)'!N11*'Research Enhancing'!C10</f>
        <v>64519.200000000004</v>
      </c>
      <c r="G11" s="62">
        <f>'table (no research)'!O11</f>
        <v>22006.892091444006</v>
      </c>
      <c r="H11" s="82">
        <f t="shared" si="1"/>
        <v>10854.368932038835</v>
      </c>
      <c r="I11" s="63" t="str">
        <f t="shared" si="2"/>
        <v>3H54S</v>
      </c>
      <c r="J11" s="62">
        <f t="shared" si="3"/>
        <v>180906.14886731392</v>
      </c>
      <c r="K11" s="62">
        <f t="shared" si="3"/>
        <v>14461.2</v>
      </c>
      <c r="L11" s="62">
        <f t="shared" si="3"/>
        <v>838749.60000000009</v>
      </c>
      <c r="M11" s="62">
        <f>'table (no research)'!U11</f>
        <v>66020.676274332014</v>
      </c>
      <c r="N11" s="82">
        <f t="shared" si="4"/>
        <v>16281.553398058251</v>
      </c>
      <c r="O11" s="63" t="str">
        <f t="shared" si="5"/>
        <v>4H31M21S</v>
      </c>
      <c r="P11" s="62">
        <f t="shared" si="6"/>
        <v>542718.44660194172</v>
      </c>
      <c r="Q11" s="62">
        <f t="shared" si="7"/>
        <v>14461.2</v>
      </c>
      <c r="R11" s="62">
        <f t="shared" si="7"/>
        <v>838749.60000000009</v>
      </c>
      <c r="S11" s="62">
        <f>'table (no research)'!AA11*'Research Enhancing'!C10</f>
        <v>404378</v>
      </c>
      <c r="T11" s="62">
        <f>'table (no research)'!AB11</f>
        <v>660206.76274332008</v>
      </c>
      <c r="U11" s="75">
        <f t="shared" si="8"/>
        <v>721976.26274332008</v>
      </c>
      <c r="V11" s="82">
        <f t="shared" si="13"/>
        <v>61769.5</v>
      </c>
      <c r="W11" s="64">
        <f t="shared" si="9"/>
        <v>0.48212005108556827</v>
      </c>
      <c r="X11" s="64">
        <f t="shared" si="10"/>
        <v>1.3302961549653305</v>
      </c>
      <c r="Y11" s="138">
        <f t="shared" si="11"/>
        <v>0.11381500000000001</v>
      </c>
    </row>
    <row r="12" spans="1:25" x14ac:dyDescent="0.3">
      <c r="A12" s="59">
        <v>10</v>
      </c>
      <c r="B12" s="82">
        <f>'table (no research)'!J12/'Research Enhancing'!C11</f>
        <v>1153.8461538461538</v>
      </c>
      <c r="C12" s="63" t="str">
        <f t="shared" si="0"/>
        <v>19M13S</v>
      </c>
      <c r="D12" s="62">
        <f t="shared" si="12"/>
        <v>19230.76923076923</v>
      </c>
      <c r="E12" s="62">
        <f>'table (no research)'!M12*'Research Enhancing'!C11</f>
        <v>1248</v>
      </c>
      <c r="F12" s="62">
        <f>'table (no research)'!N12*'Research Enhancing'!C11</f>
        <v>73632</v>
      </c>
      <c r="G12" s="62">
        <f>'table (no research)'!O12</f>
        <v>22789</v>
      </c>
      <c r="H12" s="82">
        <f t="shared" si="1"/>
        <v>15000</v>
      </c>
      <c r="I12" s="63" t="str">
        <f t="shared" si="2"/>
        <v>4H10M</v>
      </c>
      <c r="J12" s="62">
        <f t="shared" si="3"/>
        <v>250000</v>
      </c>
      <c r="K12" s="62">
        <f t="shared" si="3"/>
        <v>16224</v>
      </c>
      <c r="L12" s="62">
        <f t="shared" si="3"/>
        <v>957216</v>
      </c>
      <c r="M12" s="62">
        <f>'table (no research)'!U12</f>
        <v>68367</v>
      </c>
      <c r="N12" s="82">
        <f t="shared" si="4"/>
        <v>22500</v>
      </c>
      <c r="O12" s="63" t="str">
        <f t="shared" si="5"/>
        <v>6H15M</v>
      </c>
      <c r="P12" s="62">
        <f t="shared" si="6"/>
        <v>750000</v>
      </c>
      <c r="Q12" s="62">
        <f t="shared" si="7"/>
        <v>16224</v>
      </c>
      <c r="R12" s="62">
        <f t="shared" si="7"/>
        <v>957216</v>
      </c>
      <c r="S12" s="62">
        <f>'table (no research)'!AA12*'Research Enhancing'!C11</f>
        <v>439062</v>
      </c>
      <c r="T12" s="62">
        <f>'table (no research)'!AB12</f>
        <v>683670</v>
      </c>
      <c r="U12" s="75">
        <f t="shared" si="8"/>
        <v>779561.25</v>
      </c>
      <c r="V12" s="82">
        <f t="shared" si="13"/>
        <v>95891.25</v>
      </c>
      <c r="W12" s="64">
        <f t="shared" si="9"/>
        <v>0.4586864406779661</v>
      </c>
      <c r="X12" s="64">
        <f t="shared" si="10"/>
        <v>1.039415</v>
      </c>
      <c r="Y12" s="138">
        <f t="shared" si="11"/>
        <v>0.127855</v>
      </c>
    </row>
    <row r="13" spans="1:25" x14ac:dyDescent="0.3">
      <c r="A13" s="59">
        <v>11</v>
      </c>
      <c r="B13" s="82">
        <f>'table (no research)'!J13/'Research Enhancing'!C12</f>
        <v>1596.1538461538462</v>
      </c>
      <c r="C13" s="63" t="str">
        <f t="shared" si="0"/>
        <v>26M36S</v>
      </c>
      <c r="D13" s="62">
        <f t="shared" si="12"/>
        <v>26602.564102564105</v>
      </c>
      <c r="E13" s="62">
        <f>'table (no research)'!M13*'Research Enhancing'!C12</f>
        <v>1372.8</v>
      </c>
      <c r="F13" s="62">
        <f>'table (no research)'!N13*'Research Enhancing'!C12</f>
        <v>82368</v>
      </c>
      <c r="G13" s="62">
        <f>'table (no research)'!O13</f>
        <v>28426.296778370091</v>
      </c>
      <c r="H13" s="82">
        <f t="shared" si="1"/>
        <v>20750</v>
      </c>
      <c r="I13" s="63" t="str">
        <f t="shared" si="2"/>
        <v>5H45M50S</v>
      </c>
      <c r="J13" s="62">
        <f t="shared" si="3"/>
        <v>345833.33333333337</v>
      </c>
      <c r="K13" s="62">
        <f t="shared" si="3"/>
        <v>17846.399999999998</v>
      </c>
      <c r="L13" s="62">
        <f t="shared" si="3"/>
        <v>1070784</v>
      </c>
      <c r="M13" s="62">
        <f>'table (no research)'!U13</f>
        <v>85278.890335110278</v>
      </c>
      <c r="N13" s="82">
        <f t="shared" si="4"/>
        <v>31125</v>
      </c>
      <c r="O13" s="63" t="str">
        <f t="shared" si="5"/>
        <v>8H38M45S</v>
      </c>
      <c r="P13" s="62">
        <f t="shared" si="6"/>
        <v>1037500.0000000001</v>
      </c>
      <c r="Q13" s="62">
        <f t="shared" si="7"/>
        <v>17846.399999999998</v>
      </c>
      <c r="R13" s="62">
        <f t="shared" si="7"/>
        <v>1070784</v>
      </c>
      <c r="S13" s="62">
        <f>'table (no research)'!AA13*'Research Enhancing'!C12</f>
        <v>469820</v>
      </c>
      <c r="T13" s="62">
        <f>'table (no research)'!AB13</f>
        <v>852788.90335110272</v>
      </c>
      <c r="U13" s="75">
        <f t="shared" si="8"/>
        <v>1000072.4033511027</v>
      </c>
      <c r="V13" s="82">
        <f t="shared" si="13"/>
        <v>147283.49999999997</v>
      </c>
      <c r="W13" s="64">
        <f t="shared" si="9"/>
        <v>0.43876262626262624</v>
      </c>
      <c r="X13" s="64">
        <f t="shared" si="10"/>
        <v>0.96392520804925552</v>
      </c>
      <c r="Y13" s="138">
        <f t="shared" si="11"/>
        <v>0.14195999999999995</v>
      </c>
    </row>
    <row r="14" spans="1:25" x14ac:dyDescent="0.3">
      <c r="A14" s="59">
        <v>12</v>
      </c>
      <c r="B14" s="82">
        <f>'table (no research)'!J14/'Research Enhancing'!C13</f>
        <v>2211.5384615384614</v>
      </c>
      <c r="C14" s="63" t="str">
        <f t="shared" si="0"/>
        <v>36M51S</v>
      </c>
      <c r="D14" s="62">
        <f t="shared" si="12"/>
        <v>36858.974358974359</v>
      </c>
      <c r="E14" s="62">
        <f>'table (no research)'!M14*'Research Enhancing'!C13</f>
        <v>1497.6000000000001</v>
      </c>
      <c r="F14" s="62">
        <f>'table (no research)'!N14*'Research Enhancing'!C13</f>
        <v>91353.600000000006</v>
      </c>
      <c r="G14" s="62">
        <f>'table (no research)'!O14</f>
        <v>35359.394940693943</v>
      </c>
      <c r="H14" s="82">
        <f t="shared" si="1"/>
        <v>28750</v>
      </c>
      <c r="I14" s="63" t="str">
        <f t="shared" si="2"/>
        <v>7H59M10S</v>
      </c>
      <c r="J14" s="62">
        <f t="shared" si="3"/>
        <v>479166.66666666669</v>
      </c>
      <c r="K14" s="62">
        <f t="shared" si="3"/>
        <v>19468.800000000003</v>
      </c>
      <c r="L14" s="62">
        <f t="shared" si="3"/>
        <v>1187596.8</v>
      </c>
      <c r="M14" s="62">
        <f>'table (no research)'!U14</f>
        <v>106078.18482208182</v>
      </c>
      <c r="N14" s="82">
        <f t="shared" si="4"/>
        <v>43125</v>
      </c>
      <c r="O14" s="63" t="str">
        <f t="shared" si="5"/>
        <v>11H58M45S</v>
      </c>
      <c r="P14" s="62">
        <f t="shared" si="6"/>
        <v>1437500</v>
      </c>
      <c r="Q14" s="62">
        <f t="shared" si="7"/>
        <v>19468.800000000003</v>
      </c>
      <c r="R14" s="62">
        <f t="shared" si="7"/>
        <v>1187596.8</v>
      </c>
      <c r="S14" s="62">
        <f>'table (no research)'!AA14*'Research Enhancing'!C13</f>
        <v>500578</v>
      </c>
      <c r="T14" s="62">
        <f>'table (no research)'!AB14</f>
        <v>1060781.8482208182</v>
      </c>
      <c r="U14" s="75">
        <f t="shared" si="8"/>
        <v>1284284.3482208182</v>
      </c>
      <c r="V14" s="82">
        <f t="shared" si="13"/>
        <v>223502.49999999997</v>
      </c>
      <c r="W14" s="64">
        <f t="shared" si="9"/>
        <v>0.42150500910746813</v>
      </c>
      <c r="X14" s="64">
        <f t="shared" si="10"/>
        <v>0.89341519876230835</v>
      </c>
      <c r="Y14" s="138">
        <f t="shared" si="11"/>
        <v>0.15547999999999998</v>
      </c>
    </row>
    <row r="15" spans="1:25" x14ac:dyDescent="0.3">
      <c r="A15" s="59">
        <v>13</v>
      </c>
      <c r="B15" s="82">
        <f>'table (no research)'!J15/'Research Enhancing'!C14</f>
        <v>3085.7142857142858</v>
      </c>
      <c r="C15" s="63" t="str">
        <f t="shared" si="0"/>
        <v>51M25S</v>
      </c>
      <c r="D15" s="62">
        <f t="shared" si="12"/>
        <v>51428.571428571435</v>
      </c>
      <c r="E15" s="62">
        <f>'table (no research)'!M15*'Research Enhancing'!C14</f>
        <v>1638</v>
      </c>
      <c r="F15" s="62">
        <f>'table (no research)'!N15*'Research Enhancing'!C14</f>
        <v>101556</v>
      </c>
      <c r="G15" s="62">
        <f>'table (no research)'!O15</f>
        <v>44486.746745711018</v>
      </c>
      <c r="H15" s="82">
        <f t="shared" si="1"/>
        <v>40114.285714285717</v>
      </c>
      <c r="I15" s="63" t="str">
        <f t="shared" si="2"/>
        <v>11H8M34S</v>
      </c>
      <c r="J15" s="62">
        <f t="shared" si="3"/>
        <v>668571.42857142864</v>
      </c>
      <c r="K15" s="62">
        <f t="shared" si="3"/>
        <v>21294</v>
      </c>
      <c r="L15" s="62">
        <f t="shared" si="3"/>
        <v>1320228</v>
      </c>
      <c r="M15" s="62">
        <f>'table (no research)'!U15</f>
        <v>133460.24023713305</v>
      </c>
      <c r="N15" s="82">
        <f t="shared" si="4"/>
        <v>60171.42857142858</v>
      </c>
      <c r="O15" s="63" t="str">
        <f t="shared" si="5"/>
        <v>16H42M51S</v>
      </c>
      <c r="P15" s="62">
        <f t="shared" si="6"/>
        <v>2005714.2857142859</v>
      </c>
      <c r="Q15" s="62">
        <f t="shared" si="7"/>
        <v>21294</v>
      </c>
      <c r="R15" s="62">
        <f t="shared" si="7"/>
        <v>1320228</v>
      </c>
      <c r="S15" s="62">
        <f>'table (no research)'!AA15*'Research Enhancing'!C14</f>
        <v>536445</v>
      </c>
      <c r="T15" s="62">
        <f>'table (no research)'!AB15</f>
        <v>1334602.4023713304</v>
      </c>
      <c r="U15" s="75">
        <f t="shared" si="8"/>
        <v>1675262.9452284733</v>
      </c>
      <c r="V15" s="82">
        <f t="shared" si="13"/>
        <v>340660.54285714298</v>
      </c>
      <c r="W15" s="64">
        <f t="shared" si="9"/>
        <v>0.40632754342431759</v>
      </c>
      <c r="X15" s="64">
        <f t="shared" si="10"/>
        <v>0.83524505816234418</v>
      </c>
      <c r="Y15" s="138">
        <f t="shared" si="11"/>
        <v>0.16984500000000005</v>
      </c>
    </row>
    <row r="16" spans="1:25" x14ac:dyDescent="0.3">
      <c r="A16" s="59">
        <v>14</v>
      </c>
      <c r="B16" s="82">
        <f>'table (no research)'!J16/'Research Enhancing'!C15</f>
        <v>4285.7142857142853</v>
      </c>
      <c r="C16" s="63" t="str">
        <f t="shared" si="0"/>
        <v>1H11M25S</v>
      </c>
      <c r="D16" s="62">
        <f t="shared" si="12"/>
        <v>71428.57142857142</v>
      </c>
      <c r="E16" s="62">
        <f>'table (no research)'!M16*'Research Enhancing'!C15</f>
        <v>1764</v>
      </c>
      <c r="F16" s="62">
        <f>'table (no research)'!N16*'Research Enhancing'!C15</f>
        <v>111132</v>
      </c>
      <c r="G16" s="62">
        <f>'table (no research)'!O16</f>
        <v>54841.038225315067</v>
      </c>
      <c r="H16" s="82">
        <f t="shared" si="1"/>
        <v>55714.28571428571</v>
      </c>
      <c r="I16" s="63" t="str">
        <f t="shared" si="2"/>
        <v>15H28M34S</v>
      </c>
      <c r="J16" s="62">
        <f t="shared" si="3"/>
        <v>928571.42857142841</v>
      </c>
      <c r="K16" s="62">
        <f t="shared" si="3"/>
        <v>22932</v>
      </c>
      <c r="L16" s="62">
        <f t="shared" si="3"/>
        <v>1444716</v>
      </c>
      <c r="M16" s="62">
        <f>'table (no research)'!U16</f>
        <v>164523.11467594519</v>
      </c>
      <c r="N16" s="82">
        <f t="shared" si="4"/>
        <v>83571.428571428565</v>
      </c>
      <c r="O16" s="63" t="str">
        <f t="shared" si="5"/>
        <v>23H12M51S</v>
      </c>
      <c r="P16" s="62">
        <f t="shared" si="6"/>
        <v>2785714.2857142854</v>
      </c>
      <c r="Q16" s="62">
        <f t="shared" si="7"/>
        <v>22932</v>
      </c>
      <c r="R16" s="62">
        <f t="shared" si="7"/>
        <v>1444716</v>
      </c>
      <c r="S16" s="62">
        <f>'table (no research)'!AA16*'Research Enhancing'!C15</f>
        <v>567498.75</v>
      </c>
      <c r="T16" s="62">
        <f>'table (no research)'!AB16</f>
        <v>1645231.1467594518</v>
      </c>
      <c r="U16" s="75">
        <f t="shared" si="8"/>
        <v>2158568.6467594518</v>
      </c>
      <c r="V16" s="82">
        <f t="shared" si="13"/>
        <v>513337.49999999994</v>
      </c>
      <c r="W16" s="64">
        <f t="shared" si="9"/>
        <v>0.39280990173847319</v>
      </c>
      <c r="X16" s="64">
        <f t="shared" si="10"/>
        <v>0.77487079627262379</v>
      </c>
      <c r="Y16" s="138">
        <f t="shared" si="11"/>
        <v>0.18427499999999999</v>
      </c>
    </row>
    <row r="17" spans="1:25" x14ac:dyDescent="0.3">
      <c r="A17" s="59">
        <v>15</v>
      </c>
      <c r="B17" s="82">
        <f>'table (no research)'!J17/'Research Enhancing'!C16</f>
        <v>5942.8571428571422</v>
      </c>
      <c r="C17" s="63" t="str">
        <f t="shared" si="0"/>
        <v>1H39M2S</v>
      </c>
      <c r="D17" s="62">
        <f t="shared" si="12"/>
        <v>99047.619047619024</v>
      </c>
      <c r="E17" s="62">
        <f>'table (no research)'!M17*'Research Enhancing'!C16</f>
        <v>1890</v>
      </c>
      <c r="F17" s="62">
        <f>'table (no research)'!N17*'Research Enhancing'!C16</f>
        <v>120960</v>
      </c>
      <c r="G17" s="62">
        <f>'table (no research)'!O17</f>
        <v>66990.299196275781</v>
      </c>
      <c r="H17" s="82">
        <f t="shared" si="1"/>
        <v>77257.142857142855</v>
      </c>
      <c r="I17" s="63" t="str">
        <f t="shared" si="2"/>
        <v>21H27M37S</v>
      </c>
      <c r="J17" s="62">
        <f t="shared" si="3"/>
        <v>1287619.0476190473</v>
      </c>
      <c r="K17" s="62">
        <f t="shared" si="3"/>
        <v>24570</v>
      </c>
      <c r="L17" s="62">
        <f t="shared" si="3"/>
        <v>1572480</v>
      </c>
      <c r="M17" s="62">
        <f>'table (no research)'!U17</f>
        <v>200970.89758882733</v>
      </c>
      <c r="N17" s="82">
        <f t="shared" si="4"/>
        <v>115885.71428571429</v>
      </c>
      <c r="O17" s="63" t="str">
        <f t="shared" si="5"/>
        <v>1D8H11M25S</v>
      </c>
      <c r="P17" s="62">
        <f t="shared" si="6"/>
        <v>3862857.1428571418</v>
      </c>
      <c r="Q17" s="62">
        <f t="shared" si="7"/>
        <v>24570</v>
      </c>
      <c r="R17" s="62">
        <f t="shared" si="7"/>
        <v>1572480</v>
      </c>
      <c r="S17" s="62">
        <f>'table (no research)'!AA17*'Research Enhancing'!C16</f>
        <v>598552.5</v>
      </c>
      <c r="T17" s="62">
        <f>'table (no research)'!AB17</f>
        <v>2009708.9758882732</v>
      </c>
      <c r="U17" s="75">
        <f t="shared" si="8"/>
        <v>2774264.9758882732</v>
      </c>
      <c r="V17" s="82">
        <f t="shared" si="13"/>
        <v>764556</v>
      </c>
      <c r="W17" s="64">
        <f t="shared" si="9"/>
        <v>0.3806423611111111</v>
      </c>
      <c r="X17" s="64">
        <f t="shared" si="10"/>
        <v>0.71818989760421292</v>
      </c>
      <c r="Y17" s="138">
        <f t="shared" si="11"/>
        <v>0.19792500000000005</v>
      </c>
    </row>
    <row r="18" spans="1:25" x14ac:dyDescent="0.3">
      <c r="A18" s="59">
        <v>16</v>
      </c>
      <c r="B18" s="82">
        <f>'table (no research)'!J18/'Research Enhancing'!C17</f>
        <v>8242.9906542056069</v>
      </c>
      <c r="C18" s="63" t="str">
        <f t="shared" si="0"/>
        <v>2H17M22S</v>
      </c>
      <c r="D18" s="62">
        <f t="shared" si="12"/>
        <v>137383.17757009345</v>
      </c>
      <c r="E18" s="62">
        <f>'table (no research)'!M18*'Research Enhancing'!C17</f>
        <v>2054.4</v>
      </c>
      <c r="F18" s="62">
        <f>'table (no research)'!N18*'Research Enhancing'!C17</f>
        <v>133536</v>
      </c>
      <c r="G18" s="62">
        <f>'table (no research)'!O18</f>
        <v>82642.585631727517</v>
      </c>
      <c r="H18" s="82">
        <f t="shared" si="1"/>
        <v>107158.87850467289</v>
      </c>
      <c r="I18" s="63" t="str">
        <f t="shared" si="2"/>
        <v>1D5H45M58S</v>
      </c>
      <c r="J18" s="62">
        <f t="shared" si="3"/>
        <v>1785981.308411215</v>
      </c>
      <c r="K18" s="62">
        <f t="shared" si="3"/>
        <v>26707.200000000001</v>
      </c>
      <c r="L18" s="62">
        <f t="shared" si="3"/>
        <v>1735968</v>
      </c>
      <c r="M18" s="62">
        <f>'table (no research)'!U18</f>
        <v>247927.75689518254</v>
      </c>
      <c r="N18" s="82">
        <f t="shared" si="4"/>
        <v>160738.31775700932</v>
      </c>
      <c r="O18" s="63" t="str">
        <f t="shared" si="5"/>
        <v>1D20H38M58S</v>
      </c>
      <c r="P18" s="62">
        <f t="shared" si="6"/>
        <v>5357943.9252336454</v>
      </c>
      <c r="Q18" s="62">
        <f t="shared" si="7"/>
        <v>26707.200000000001</v>
      </c>
      <c r="R18" s="62">
        <f t="shared" si="7"/>
        <v>1735968</v>
      </c>
      <c r="S18" s="62">
        <f>'table (no research)'!AA18*'Research Enhancing'!C17</f>
        <v>641598.75</v>
      </c>
      <c r="T18" s="62">
        <f>'table (no research)'!AB18</f>
        <v>2479277.5689518251</v>
      </c>
      <c r="U18" s="75">
        <f t="shared" si="8"/>
        <v>3624029.0782976192</v>
      </c>
      <c r="V18" s="82">
        <f t="shared" si="13"/>
        <v>1144751.5093457941</v>
      </c>
      <c r="W18" s="64">
        <f t="shared" si="9"/>
        <v>0.36959134615384615</v>
      </c>
      <c r="X18" s="64">
        <f t="shared" si="10"/>
        <v>0.67638428637335635</v>
      </c>
      <c r="Y18" s="138">
        <f t="shared" si="11"/>
        <v>0.21365499999999993</v>
      </c>
    </row>
    <row r="19" spans="1:25" x14ac:dyDescent="0.3">
      <c r="A19" s="59">
        <v>17</v>
      </c>
      <c r="B19" s="82">
        <f>'table (no research)'!J19/'Research Enhancing'!C18</f>
        <v>11439.252336448597</v>
      </c>
      <c r="C19" s="63" t="str">
        <f t="shared" si="0"/>
        <v>3H10M39S</v>
      </c>
      <c r="D19" s="62">
        <f t="shared" si="12"/>
        <v>190654.20560747662</v>
      </c>
      <c r="E19" s="62">
        <f>'table (no research)'!M19*'Research Enhancing'!C18</f>
        <v>2182.8000000000002</v>
      </c>
      <c r="F19" s="62">
        <f>'table (no research)'!N19*'Research Enhancing'!C18</f>
        <v>144064.80000000002</v>
      </c>
      <c r="G19" s="62">
        <f>'table (no research)'!O19</f>
        <v>98941.887028450656</v>
      </c>
      <c r="H19" s="82">
        <f t="shared" si="1"/>
        <v>148710.28037383175</v>
      </c>
      <c r="I19" s="63" t="str">
        <f t="shared" si="2"/>
        <v>1D17H18M30S</v>
      </c>
      <c r="J19" s="62">
        <f t="shared" si="3"/>
        <v>2478504.6728971959</v>
      </c>
      <c r="K19" s="62">
        <f t="shared" si="3"/>
        <v>28376.400000000001</v>
      </c>
      <c r="L19" s="62">
        <f t="shared" si="3"/>
        <v>1872842.4000000001</v>
      </c>
      <c r="M19" s="62">
        <f>'table (no research)'!U19</f>
        <v>296825.66108535195</v>
      </c>
      <c r="N19" s="82">
        <f t="shared" si="4"/>
        <v>223065.42056074762</v>
      </c>
      <c r="O19" s="63" t="str">
        <f t="shared" si="5"/>
        <v>2D13H57M45S</v>
      </c>
      <c r="P19" s="62">
        <f t="shared" si="6"/>
        <v>7435514.0186915882</v>
      </c>
      <c r="Q19" s="62">
        <f t="shared" si="7"/>
        <v>28376.400000000001</v>
      </c>
      <c r="R19" s="62">
        <f t="shared" si="7"/>
        <v>1872842.4000000001</v>
      </c>
      <c r="S19" s="62">
        <f>'table (no research)'!AA19*'Research Enhancing'!C18</f>
        <v>673244</v>
      </c>
      <c r="T19" s="62">
        <f>'table (no research)'!AB19</f>
        <v>2968256.6108535193</v>
      </c>
      <c r="U19" s="75">
        <f t="shared" si="8"/>
        <v>4674818.6108535193</v>
      </c>
      <c r="V19" s="82">
        <f t="shared" si="13"/>
        <v>1706561.9999999998</v>
      </c>
      <c r="W19" s="64">
        <f t="shared" si="9"/>
        <v>0.35947712418300654</v>
      </c>
      <c r="X19" s="64">
        <f t="shared" si="10"/>
        <v>0.62871492126863571</v>
      </c>
      <c r="Y19" s="138">
        <f t="shared" si="11"/>
        <v>0.229515</v>
      </c>
    </row>
    <row r="20" spans="1:25" x14ac:dyDescent="0.3">
      <c r="A20" s="59">
        <v>18</v>
      </c>
      <c r="B20" s="82">
        <f>'table (no research)'!J20/'Research Enhancing'!C19</f>
        <v>14859.813084112149</v>
      </c>
      <c r="C20" s="63" t="str">
        <f t="shared" si="0"/>
        <v>4H7M39S</v>
      </c>
      <c r="D20" s="62">
        <f t="shared" si="12"/>
        <v>247663.55140186913</v>
      </c>
      <c r="E20" s="62">
        <f>'table (no research)'!M20*'Research Enhancing'!C19</f>
        <v>2311.2000000000003</v>
      </c>
      <c r="F20" s="62">
        <f>'table (no research)'!N20*'Research Enhancing'!C19</f>
        <v>154850.40000000002</v>
      </c>
      <c r="G20" s="62">
        <f>'table (no research)'!O20</f>
        <v>109241.96581915698</v>
      </c>
      <c r="H20" s="82">
        <f t="shared" si="1"/>
        <v>193177.57009345794</v>
      </c>
      <c r="I20" s="63" t="str">
        <f t="shared" si="2"/>
        <v>2D5H39M37S</v>
      </c>
      <c r="J20" s="62">
        <f t="shared" si="3"/>
        <v>3219626.1682242989</v>
      </c>
      <c r="K20" s="62">
        <f t="shared" si="3"/>
        <v>30045.600000000002</v>
      </c>
      <c r="L20" s="62">
        <f t="shared" si="3"/>
        <v>2013055.2000000002</v>
      </c>
      <c r="M20" s="62">
        <f>'table (no research)'!U20</f>
        <v>327725.89745747094</v>
      </c>
      <c r="N20" s="82">
        <f t="shared" si="4"/>
        <v>289766.3551401869</v>
      </c>
      <c r="O20" s="63" t="str">
        <f t="shared" si="5"/>
        <v>3D8H29M26S</v>
      </c>
      <c r="P20" s="62">
        <f t="shared" si="6"/>
        <v>9658878.5046728961</v>
      </c>
      <c r="Q20" s="62">
        <f t="shared" si="7"/>
        <v>30045.600000000002</v>
      </c>
      <c r="R20" s="62">
        <f t="shared" si="7"/>
        <v>2013055.2000000002</v>
      </c>
      <c r="S20" s="62">
        <f>'table (no research)'!AA20*'Research Enhancing'!C19</f>
        <v>704889.25</v>
      </c>
      <c r="T20" s="62">
        <f>'table (no research)'!AB20</f>
        <v>3277258.9745747093</v>
      </c>
      <c r="U20" s="75">
        <f t="shared" si="8"/>
        <v>5628471.4745747093</v>
      </c>
      <c r="V20" s="82">
        <f t="shared" si="13"/>
        <v>2351212.5</v>
      </c>
      <c r="W20" s="64">
        <f t="shared" si="9"/>
        <v>0.35015892758430067</v>
      </c>
      <c r="X20" s="64">
        <f t="shared" si="10"/>
        <v>0.58272515508417411</v>
      </c>
      <c r="Y20" s="138">
        <f t="shared" si="11"/>
        <v>0.24342500000000003</v>
      </c>
    </row>
    <row r="21" spans="1:25" x14ac:dyDescent="0.3">
      <c r="A21" s="59">
        <v>19</v>
      </c>
      <c r="B21" s="82">
        <f>'table (no research)'!J21/'Research Enhancing'!C20</f>
        <v>22018.34862385321</v>
      </c>
      <c r="C21" s="63" t="str">
        <f t="shared" si="0"/>
        <v>6H6M58S</v>
      </c>
      <c r="D21" s="62">
        <f t="shared" si="12"/>
        <v>366972.47706422018</v>
      </c>
      <c r="E21" s="62">
        <f>'table (no research)'!M21*'Research Enhancing'!C20</f>
        <v>2485.2000000000003</v>
      </c>
      <c r="F21" s="62">
        <f>'table (no research)'!N21*'Research Enhancing'!C20</f>
        <v>168993.6</v>
      </c>
      <c r="G21" s="62">
        <f>'table (no research)'!O21</f>
        <v>137418.25530376038</v>
      </c>
      <c r="H21" s="82">
        <f t="shared" si="1"/>
        <v>286238.53211009171</v>
      </c>
      <c r="I21" s="63" t="str">
        <f t="shared" si="2"/>
        <v>3D7H30M38S</v>
      </c>
      <c r="J21" s="62">
        <f t="shared" si="3"/>
        <v>4770642.2018348621</v>
      </c>
      <c r="K21" s="62">
        <f t="shared" si="3"/>
        <v>32307.600000000002</v>
      </c>
      <c r="L21" s="62">
        <f t="shared" si="3"/>
        <v>2196916.8000000003</v>
      </c>
      <c r="M21" s="62">
        <f>'table (no research)'!U21</f>
        <v>412254.76591128111</v>
      </c>
      <c r="N21" s="82">
        <f t="shared" si="4"/>
        <v>429357.79816513753</v>
      </c>
      <c r="O21" s="63" t="str">
        <f t="shared" si="5"/>
        <v>4D23H15M57S</v>
      </c>
      <c r="P21" s="62">
        <f t="shared" si="6"/>
        <v>14311926.605504587</v>
      </c>
      <c r="Q21" s="62">
        <f t="shared" si="7"/>
        <v>32307.600000000002</v>
      </c>
      <c r="R21" s="62">
        <f t="shared" si="7"/>
        <v>2196916.8000000003</v>
      </c>
      <c r="S21" s="62">
        <f>'table (no research)'!AA21*'Research Enhancing'!C20</f>
        <v>750301.5</v>
      </c>
      <c r="T21" s="62">
        <f>'table (no research)'!AB21</f>
        <v>4122547.6591128111</v>
      </c>
      <c r="U21" s="75">
        <f t="shared" si="8"/>
        <v>7840857.7508559301</v>
      </c>
      <c r="V21" s="82">
        <f t="shared" si="13"/>
        <v>3718310.0917431191</v>
      </c>
      <c r="W21" s="64">
        <f t="shared" si="9"/>
        <v>0.34152476780185753</v>
      </c>
      <c r="X21" s="64">
        <f t="shared" si="10"/>
        <v>0.5478548043867284</v>
      </c>
      <c r="Y21" s="138">
        <f t="shared" si="11"/>
        <v>0.25980500000000001</v>
      </c>
    </row>
    <row r="22" spans="1:25" x14ac:dyDescent="0.3">
      <c r="A22" s="59">
        <v>20</v>
      </c>
      <c r="B22" s="82">
        <f>'table (no research)'!J22/'Research Enhancing'!C21</f>
        <v>30550.458715596327</v>
      </c>
      <c r="C22" s="63" t="str">
        <f t="shared" si="0"/>
        <v>8H29M10S</v>
      </c>
      <c r="D22" s="62">
        <f t="shared" si="12"/>
        <v>509174.31192660541</v>
      </c>
      <c r="E22" s="62">
        <f>'table (no research)'!M22*'Research Enhancing'!C21</f>
        <v>2616</v>
      </c>
      <c r="F22" s="62">
        <f>'table (no research)'!N22*'Research Enhancing'!C21</f>
        <v>180504</v>
      </c>
      <c r="G22" s="62">
        <f>'table (no research)'!O22</f>
        <v>154648.35769929321</v>
      </c>
      <c r="H22" s="82">
        <f t="shared" si="1"/>
        <v>397155.96330275224</v>
      </c>
      <c r="I22" s="63" t="str">
        <f t="shared" si="2"/>
        <v>4D14H19M15S</v>
      </c>
      <c r="J22" s="62">
        <f t="shared" si="3"/>
        <v>6619266.0550458701</v>
      </c>
      <c r="K22" s="62">
        <f t="shared" si="3"/>
        <v>34008</v>
      </c>
      <c r="L22" s="62">
        <f t="shared" si="3"/>
        <v>2346552</v>
      </c>
      <c r="M22" s="62">
        <f>'table (no research)'!U22</f>
        <v>463945.07309787965</v>
      </c>
      <c r="N22" s="82">
        <f t="shared" si="4"/>
        <v>595733.94495412835</v>
      </c>
      <c r="O22" s="63" t="str">
        <f t="shared" si="5"/>
        <v>6D21H28M53S</v>
      </c>
      <c r="P22" s="62">
        <f t="shared" si="6"/>
        <v>19857798.165137611</v>
      </c>
      <c r="Q22" s="62">
        <f t="shared" si="7"/>
        <v>34008</v>
      </c>
      <c r="R22" s="62">
        <f t="shared" si="7"/>
        <v>2346552</v>
      </c>
      <c r="S22" s="62">
        <f>'table (no research)'!AA22*'Research Enhancing'!C21</f>
        <v>782538.25</v>
      </c>
      <c r="T22" s="62">
        <f>'table (no research)'!AB22</f>
        <v>4639450.7309787963</v>
      </c>
      <c r="U22" s="75">
        <f t="shared" si="8"/>
        <v>10126458.230978796</v>
      </c>
      <c r="V22" s="82">
        <f t="shared" si="13"/>
        <v>5487007.5</v>
      </c>
      <c r="W22" s="64">
        <f t="shared" si="9"/>
        <v>0.33348429951690822</v>
      </c>
      <c r="X22" s="64">
        <f t="shared" si="10"/>
        <v>0.50994869354432382</v>
      </c>
      <c r="Y22" s="138">
        <f t="shared" si="11"/>
        <v>0.27631500000000003</v>
      </c>
    </row>
    <row r="23" spans="1:25" x14ac:dyDescent="0.3">
      <c r="A23" s="59">
        <v>21</v>
      </c>
      <c r="B23" s="82">
        <f>'table (no research)'!J23/'Research Enhancing'!C22</f>
        <v>42385.321100917427</v>
      </c>
      <c r="C23" s="63" t="str">
        <f t="shared" si="0"/>
        <v>11H46M25S</v>
      </c>
      <c r="D23" s="62">
        <f t="shared" si="12"/>
        <v>706422.01834862377</v>
      </c>
      <c r="E23" s="62">
        <f>'table (no research)'!M23*'Research Enhancing'!C22</f>
        <v>2746.8</v>
      </c>
      <c r="F23" s="62">
        <f>'table (no research)'!N23*'Research Enhancing'!C22</f>
        <v>192276</v>
      </c>
      <c r="G23" s="62">
        <f>'table (no research)'!O23</f>
        <v>167287.79862356881</v>
      </c>
      <c r="H23" s="82">
        <f t="shared" si="1"/>
        <v>551009.17431192659</v>
      </c>
      <c r="I23" s="63" t="str">
        <f t="shared" si="2"/>
        <v>6D9H3M29S</v>
      </c>
      <c r="J23" s="62">
        <f t="shared" si="3"/>
        <v>9183486.2385321092</v>
      </c>
      <c r="K23" s="62">
        <f t="shared" si="3"/>
        <v>35708.400000000001</v>
      </c>
      <c r="L23" s="62">
        <f t="shared" si="3"/>
        <v>2499588</v>
      </c>
      <c r="M23" s="62">
        <f>'table (no research)'!U23</f>
        <v>501863.39587070647</v>
      </c>
      <c r="N23" s="82">
        <f t="shared" si="4"/>
        <v>826513.76146788988</v>
      </c>
      <c r="O23" s="63" t="str">
        <f t="shared" si="5"/>
        <v>9D13H35M13S</v>
      </c>
      <c r="P23" s="62">
        <f t="shared" si="6"/>
        <v>27550458.715596326</v>
      </c>
      <c r="Q23" s="62">
        <f t="shared" si="7"/>
        <v>35708.400000000001</v>
      </c>
      <c r="R23" s="62">
        <f t="shared" si="7"/>
        <v>2499588</v>
      </c>
      <c r="S23" s="62">
        <f>'table (no research)'!AA23*'Research Enhancing'!C22</f>
        <v>814775.00000000012</v>
      </c>
      <c r="T23" s="62">
        <f>'table (no research)'!AB23</f>
        <v>5018633.9587070644</v>
      </c>
      <c r="U23" s="75">
        <f t="shared" si="8"/>
        <v>13021628.958707064</v>
      </c>
      <c r="V23" s="82">
        <f t="shared" si="13"/>
        <v>8002994.9999999991</v>
      </c>
      <c r="W23" s="64">
        <f t="shared" si="9"/>
        <v>0.32596371882086173</v>
      </c>
      <c r="X23" s="64">
        <f t="shared" si="10"/>
        <v>0.47264653896072933</v>
      </c>
      <c r="Y23" s="138">
        <f t="shared" si="11"/>
        <v>0.29048499999999999</v>
      </c>
    </row>
    <row r="24" spans="1:25" x14ac:dyDescent="0.3">
      <c r="A24" s="59">
        <v>22</v>
      </c>
      <c r="B24" s="82">
        <f>'table (no research)'!J24/'Research Enhancing'!C23</f>
        <v>58928.57142857142</v>
      </c>
      <c r="C24" s="63" t="str">
        <f t="shared" si="0"/>
        <v>16H22M8S</v>
      </c>
      <c r="D24" s="62">
        <f t="shared" si="12"/>
        <v>982142.85714285693</v>
      </c>
      <c r="E24" s="62">
        <f>'table (no research)'!M24*'Research Enhancing'!C23</f>
        <v>2956.8</v>
      </c>
      <c r="F24" s="62">
        <f>'table (no research)'!N24*'Research Enhancing'!C23</f>
        <v>209932.80000000002</v>
      </c>
      <c r="G24" s="62">
        <f>'table (no research)'!O24</f>
        <v>175034.61552939191</v>
      </c>
      <c r="H24" s="82">
        <f t="shared" si="1"/>
        <v>766071.42857142841</v>
      </c>
      <c r="I24" s="63" t="str">
        <f t="shared" si="2"/>
        <v>8D20H47M51S</v>
      </c>
      <c r="J24" s="62">
        <f t="shared" si="3"/>
        <v>12767857.14285714</v>
      </c>
      <c r="K24" s="62">
        <f t="shared" si="3"/>
        <v>38438.400000000001</v>
      </c>
      <c r="L24" s="62">
        <f t="shared" si="3"/>
        <v>2729126.4000000004</v>
      </c>
      <c r="M24" s="62">
        <f>'table (no research)'!U24</f>
        <v>525103.84658817574</v>
      </c>
      <c r="N24" s="82">
        <f t="shared" si="4"/>
        <v>1149107.1428571427</v>
      </c>
      <c r="O24" s="63" t="str">
        <f t="shared" si="5"/>
        <v>13D7H11M47S</v>
      </c>
      <c r="P24" s="62">
        <f t="shared" si="6"/>
        <v>38303571.428571418</v>
      </c>
      <c r="Q24" s="62">
        <f t="shared" si="7"/>
        <v>38438.400000000001</v>
      </c>
      <c r="R24" s="62">
        <f t="shared" si="7"/>
        <v>2729126.4000000004</v>
      </c>
      <c r="S24" s="62">
        <f>'table (no research)'!AA24*'Research Enhancing'!C23</f>
        <v>870324.00000000012</v>
      </c>
      <c r="T24" s="62">
        <f>'table (no research)'!AB24</f>
        <v>5251038.4658817574</v>
      </c>
      <c r="U24" s="75">
        <f t="shared" si="8"/>
        <v>17084735.340881757</v>
      </c>
      <c r="V24" s="82">
        <f t="shared" si="13"/>
        <v>11833696.875</v>
      </c>
      <c r="W24" s="64">
        <f t="shared" si="9"/>
        <v>0.31890204865556976</v>
      </c>
      <c r="X24" s="64">
        <f t="shared" si="10"/>
        <v>0.44603504852651688</v>
      </c>
      <c r="Y24" s="138">
        <f t="shared" si="11"/>
        <v>0.30894500000000008</v>
      </c>
    </row>
    <row r="25" spans="1:25" x14ac:dyDescent="0.3">
      <c r="A25" s="59">
        <v>23</v>
      </c>
      <c r="B25" s="82">
        <f>'table (no research)'!J25/'Research Enhancing'!C24</f>
        <v>80357.142857142855</v>
      </c>
      <c r="C25" s="63" t="str">
        <f t="shared" si="0"/>
        <v>22H19M17S</v>
      </c>
      <c r="D25" s="62">
        <f t="shared" si="12"/>
        <v>1339285.7142857141</v>
      </c>
      <c r="E25" s="62">
        <f>'table (no research)'!M25*'Research Enhancing'!C24</f>
        <v>3091.2000000000003</v>
      </c>
      <c r="F25" s="62">
        <f>'table (no research)'!N25*'Research Enhancing'!C24</f>
        <v>222566.40000000002</v>
      </c>
      <c r="G25" s="62">
        <f>'table (no research)'!O25</f>
        <v>156006.19532669225</v>
      </c>
      <c r="H25" s="82">
        <f t="shared" si="1"/>
        <v>1044642.8571428572</v>
      </c>
      <c r="I25" s="63" t="str">
        <f t="shared" si="2"/>
        <v>12D2H10M42S</v>
      </c>
      <c r="J25" s="62">
        <f t="shared" si="3"/>
        <v>17410714.285714284</v>
      </c>
      <c r="K25" s="62">
        <f t="shared" si="3"/>
        <v>40185.600000000006</v>
      </c>
      <c r="L25" s="62">
        <f t="shared" si="3"/>
        <v>2893363.2000000002</v>
      </c>
      <c r="M25" s="62">
        <f>'table (no research)'!U25</f>
        <v>468018.58598007675</v>
      </c>
      <c r="N25" s="82">
        <f t="shared" si="4"/>
        <v>1566964.2857142857</v>
      </c>
      <c r="O25" s="63" t="str">
        <f t="shared" si="5"/>
        <v>18D3H16M4S</v>
      </c>
      <c r="P25" s="62">
        <f t="shared" si="6"/>
        <v>52232142.857142851</v>
      </c>
      <c r="Q25" s="62">
        <f t="shared" si="7"/>
        <v>40185.600000000006</v>
      </c>
      <c r="R25" s="62">
        <f t="shared" si="7"/>
        <v>2893363.2000000002</v>
      </c>
      <c r="S25" s="62">
        <f>'table (no research)'!AA25*'Research Enhancing'!C24</f>
        <v>903448.00000000012</v>
      </c>
      <c r="T25" s="62">
        <f>'table (no research)'!AB25</f>
        <v>4680185.8598007672</v>
      </c>
      <c r="U25" s="75">
        <f t="shared" si="8"/>
        <v>21791435.859800767</v>
      </c>
      <c r="V25" s="82">
        <f t="shared" si="13"/>
        <v>17111250</v>
      </c>
      <c r="W25" s="64">
        <f t="shared" si="9"/>
        <v>0.31224838969404189</v>
      </c>
      <c r="X25" s="64">
        <f t="shared" si="10"/>
        <v>0.41720355834148481</v>
      </c>
      <c r="Y25" s="138">
        <f t="shared" si="11"/>
        <v>0.32760000000000006</v>
      </c>
    </row>
    <row r="26" spans="1:25" x14ac:dyDescent="0.3">
      <c r="A26" s="59">
        <v>24</v>
      </c>
      <c r="B26" s="82">
        <f>'table (no research)'!J26/'Research Enhancing'!C25</f>
        <v>115714.28571428571</v>
      </c>
      <c r="C26" s="63" t="str">
        <f t="shared" si="0"/>
        <v>1D8H8M34S</v>
      </c>
      <c r="D26" s="62">
        <f t="shared" si="12"/>
        <v>1928571.4285714286</v>
      </c>
      <c r="E26" s="62">
        <f>'table (no research)'!M26*'Research Enhancing'!C25</f>
        <v>3225.6000000000004</v>
      </c>
      <c r="F26" s="62">
        <f>'table (no research)'!N26*'Research Enhancing'!C25</f>
        <v>235468.80000000002</v>
      </c>
      <c r="G26" s="62">
        <f>'table (no research)'!O26</f>
        <v>111632.0466854062</v>
      </c>
      <c r="H26" s="82">
        <f t="shared" si="1"/>
        <v>1504285.7142857143</v>
      </c>
      <c r="I26" s="63" t="str">
        <f t="shared" si="2"/>
        <v>17D9H51M25S</v>
      </c>
      <c r="J26" s="62">
        <f t="shared" si="3"/>
        <v>25071428.571428571</v>
      </c>
      <c r="K26" s="62">
        <f t="shared" si="3"/>
        <v>41932.800000000003</v>
      </c>
      <c r="L26" s="62">
        <f t="shared" si="3"/>
        <v>3061094.4000000004</v>
      </c>
      <c r="M26" s="62">
        <f>'table (no research)'!U26</f>
        <v>334896.1400562186</v>
      </c>
      <c r="N26" s="82">
        <f t="shared" si="4"/>
        <v>2256428.5714285714</v>
      </c>
      <c r="O26" s="63" t="str">
        <f t="shared" si="5"/>
        <v>26D2H47M8S</v>
      </c>
      <c r="P26" s="62">
        <f t="shared" si="6"/>
        <v>75214285.714285716</v>
      </c>
      <c r="Q26" s="62">
        <f t="shared" si="7"/>
        <v>41932.800000000003</v>
      </c>
      <c r="R26" s="62">
        <f t="shared" si="7"/>
        <v>3061094.4000000004</v>
      </c>
      <c r="S26" s="62">
        <f>'table (no research)'!AA26*'Research Enhancing'!C25</f>
        <v>936572.00000000012</v>
      </c>
      <c r="T26" s="62">
        <f>'table (no research)'!AB26</f>
        <v>3348961.4005621858</v>
      </c>
      <c r="U26" s="75">
        <f t="shared" si="8"/>
        <v>29084281.400562186</v>
      </c>
      <c r="V26" s="82">
        <f t="shared" si="13"/>
        <v>25735320</v>
      </c>
      <c r="W26" s="64">
        <f t="shared" si="9"/>
        <v>0.30595985540334858</v>
      </c>
      <c r="X26" s="64">
        <f t="shared" si="10"/>
        <v>0.38668560266654378</v>
      </c>
      <c r="Y26" s="138">
        <f t="shared" si="11"/>
        <v>0.34215999999999996</v>
      </c>
    </row>
    <row r="27" spans="1:25" x14ac:dyDescent="0.3">
      <c r="A27" s="59">
        <v>25</v>
      </c>
      <c r="B27" s="82">
        <f>'table (no research)'!J27/'Research Enhancing'!C26</f>
        <v>156521.73913043478</v>
      </c>
      <c r="C27" s="63" t="str">
        <f t="shared" si="0"/>
        <v>1D19H28M41S</v>
      </c>
      <c r="D27" s="62">
        <f t="shared" si="12"/>
        <v>2608695.6521739131</v>
      </c>
      <c r="E27" s="62">
        <f>'table (no research)'!M27*'Research Enhancing'!C26</f>
        <v>3449.9999999999995</v>
      </c>
      <c r="F27" s="62">
        <f>'table (no research)'!N27*'Research Enhancing'!C26</f>
        <v>255299.99999999997</v>
      </c>
      <c r="G27" s="62">
        <f>'table (no research)'!O27</f>
        <v>5850</v>
      </c>
      <c r="H27" s="82">
        <f t="shared" si="1"/>
        <v>2034782.6086956521</v>
      </c>
      <c r="I27" s="63" t="str">
        <f t="shared" si="2"/>
        <v>23D13H13M2S</v>
      </c>
      <c r="J27" s="62">
        <f t="shared" si="3"/>
        <v>33913043.478260867</v>
      </c>
      <c r="K27" s="62">
        <f t="shared" si="3"/>
        <v>44849.999999999993</v>
      </c>
      <c r="L27" s="62">
        <f t="shared" si="3"/>
        <v>3318899.9999999995</v>
      </c>
      <c r="M27" s="62">
        <f>'table (no research)'!U27</f>
        <v>17550</v>
      </c>
      <c r="N27" s="82">
        <f t="shared" si="4"/>
        <v>3052173.913043478</v>
      </c>
      <c r="O27" s="63" t="str">
        <f t="shared" si="5"/>
        <v>35D7H49M33S</v>
      </c>
      <c r="P27" s="62">
        <f t="shared" si="6"/>
        <v>101739130.43478259</v>
      </c>
      <c r="Q27" s="62">
        <f t="shared" si="7"/>
        <v>44849.999999999993</v>
      </c>
      <c r="R27" s="62">
        <f t="shared" si="7"/>
        <v>3318899.9999999995</v>
      </c>
      <c r="S27" s="62">
        <f>'table (no research)'!AA27*'Research Enhancing'!C26</f>
        <v>995669.99999999988</v>
      </c>
      <c r="T27" s="62">
        <f>'table (no research)'!AB27</f>
        <v>175500</v>
      </c>
      <c r="U27" s="75">
        <f t="shared" si="8"/>
        <v>36963860.869565211</v>
      </c>
      <c r="V27" s="82">
        <f t="shared" si="13"/>
        <v>36788360.869565211</v>
      </c>
      <c r="W27" s="64">
        <f t="shared" si="9"/>
        <v>0.3</v>
      </c>
      <c r="X27" s="64">
        <f t="shared" si="10"/>
        <v>0.36331999999999998</v>
      </c>
      <c r="Y27" s="138">
        <f t="shared" si="11"/>
        <v>0.361595</v>
      </c>
    </row>
    <row r="28" spans="1:25" ht="17.25" thickBot="1" x14ac:dyDescent="0.35">
      <c r="A28" s="65" t="s">
        <v>514</v>
      </c>
      <c r="B28" s="73">
        <f t="shared" ref="B28:D28" si="14">SUM(B3:B27)</f>
        <v>562111.23448153748</v>
      </c>
      <c r="C28" s="72" t="str">
        <f t="shared" si="0"/>
        <v>6D12H8M31S</v>
      </c>
      <c r="D28" s="70">
        <f t="shared" si="14"/>
        <v>9368530.475682389</v>
      </c>
      <c r="E28" s="70"/>
      <c r="F28" s="70"/>
      <c r="G28" s="74">
        <f>SUM(G3:G27)</f>
        <v>1608694.2255335427</v>
      </c>
      <c r="H28" s="73">
        <f>SUM(H3:H27)</f>
        <v>7307446.0482599866</v>
      </c>
      <c r="I28" s="72" t="str">
        <f t="shared" si="2"/>
        <v>84D13H50M46S</v>
      </c>
      <c r="J28" s="70">
        <f>SUM(J3:J27)</f>
        <v>121790896.18387106</v>
      </c>
      <c r="K28" s="70"/>
      <c r="L28" s="70"/>
      <c r="M28" s="74">
        <f>SUM(M3:M27)</f>
        <v>4826082.6766006285</v>
      </c>
      <c r="N28" s="73">
        <f>SUM(N3:N27)</f>
        <v>10961169.072389981</v>
      </c>
      <c r="O28" s="72" t="str">
        <f t="shared" si="5"/>
        <v>126D20H46M9S</v>
      </c>
      <c r="P28" s="74">
        <f t="shared" si="6"/>
        <v>365372688.55161321</v>
      </c>
      <c r="Q28" s="70"/>
      <c r="R28" s="70"/>
      <c r="S28" s="70"/>
      <c r="T28" s="74">
        <f>SUM(T3:T27)</f>
        <v>48260826.766006276</v>
      </c>
      <c r="U28" s="74">
        <f>SUM(U3:U27)</f>
        <v>164383028.51973742</v>
      </c>
      <c r="V28" s="73">
        <f>SUM(V3:V27)</f>
        <v>116122201.75373113</v>
      </c>
      <c r="W28" s="74"/>
      <c r="X28" s="74"/>
      <c r="Y28" s="83"/>
    </row>
    <row r="29" spans="1:25" x14ac:dyDescent="0.15">
      <c r="A29" s="55"/>
      <c r="D29" s="55"/>
      <c r="E29" s="55"/>
      <c r="F29" s="55"/>
      <c r="G29" s="55"/>
      <c r="H29" s="55"/>
      <c r="N29" s="55"/>
    </row>
    <row r="30" spans="1:25" x14ac:dyDescent="0.15">
      <c r="A30" s="55"/>
      <c r="D30" s="55"/>
      <c r="E30" s="55"/>
      <c r="F30" s="55"/>
      <c r="G30" s="55"/>
      <c r="H30" s="55"/>
      <c r="N30" s="55"/>
    </row>
    <row r="31" spans="1:25" hidden="1" x14ac:dyDescent="0.15">
      <c r="A31" s="55"/>
      <c r="B31" s="2">
        <f>B28/3600/24</f>
        <v>6.5059170657585357</v>
      </c>
      <c r="D31" s="55"/>
      <c r="E31" s="55"/>
      <c r="F31" s="55"/>
      <c r="G31" s="55"/>
      <c r="H31" s="55"/>
      <c r="N31" s="55"/>
    </row>
    <row r="32" spans="1:25" hidden="1" x14ac:dyDescent="0.15">
      <c r="A32" s="55"/>
      <c r="C32" s="2">
        <f>EXP(0.3277)</f>
        <v>1.387772578059983</v>
      </c>
      <c r="D32" s="55"/>
      <c r="E32" s="55"/>
      <c r="F32" s="55"/>
      <c r="G32" s="55"/>
      <c r="H32" s="55"/>
      <c r="N32" s="55"/>
    </row>
    <row r="33" spans="1:17" hidden="1" x14ac:dyDescent="0.15">
      <c r="A33" s="55"/>
      <c r="D33" s="55"/>
      <c r="E33" s="55"/>
      <c r="F33" s="55"/>
      <c r="G33" s="55"/>
      <c r="H33" s="55"/>
      <c r="N33" s="55"/>
      <c r="Q33" s="2">
        <f>P27/Q27</f>
        <v>2268.4310018903593</v>
      </c>
    </row>
    <row r="34" spans="1:17" hidden="1" x14ac:dyDescent="0.15">
      <c r="A34" s="55"/>
      <c r="E34" s="55"/>
      <c r="F34" s="55"/>
      <c r="G34" s="55"/>
      <c r="H34" s="55"/>
      <c r="N34" s="55"/>
    </row>
    <row r="35" spans="1:17" hidden="1" x14ac:dyDescent="0.15">
      <c r="A35" s="55"/>
      <c r="C35" s="67"/>
      <c r="E35" s="55"/>
      <c r="F35" s="55"/>
      <c r="G35" s="55"/>
      <c r="H35" s="55"/>
      <c r="N35" s="55"/>
    </row>
    <row r="36" spans="1:17" hidden="1" x14ac:dyDescent="0.15">
      <c r="A36" s="55"/>
      <c r="E36" s="55"/>
      <c r="F36" s="55"/>
      <c r="G36" s="55"/>
      <c r="H36" s="55"/>
      <c r="N36" s="55"/>
    </row>
    <row r="37" spans="1:17" hidden="1" x14ac:dyDescent="0.15">
      <c r="A37" s="55"/>
      <c r="E37" s="55"/>
      <c r="F37" s="55"/>
      <c r="G37" s="55"/>
      <c r="H37" s="55"/>
      <c r="K37" s="2">
        <f>LN(0.32)</f>
        <v>-1.1394342831883648</v>
      </c>
      <c r="N37" s="55"/>
      <c r="Q37" s="2">
        <f>LN(0.25)</f>
        <v>-1.3862943611198906</v>
      </c>
    </row>
    <row r="38" spans="1:17" hidden="1" x14ac:dyDescent="0.15">
      <c r="K38" s="2">
        <f>K37/15</f>
        <v>-7.596228554589099E-2</v>
      </c>
      <c r="Q38" s="2">
        <f>Q37/15</f>
        <v>-9.2419624074659368E-2</v>
      </c>
    </row>
    <row r="39" spans="1:17" hidden="1" x14ac:dyDescent="0.15">
      <c r="I39" s="2">
        <f>LN(40)/29</f>
        <v>0.12720273979703228</v>
      </c>
      <c r="O39" s="2">
        <f>LN(40)/29</f>
        <v>0.12720273979703228</v>
      </c>
    </row>
    <row r="40" spans="1:17" hidden="1" x14ac:dyDescent="0.15">
      <c r="I40" s="2">
        <f>EXP(I39)</f>
        <v>1.1356472353335598</v>
      </c>
      <c r="K40" s="2">
        <f>LN(10)/9</f>
        <v>0.25584278811044953</v>
      </c>
      <c r="O40" s="2">
        <f>EXP(O39)</f>
        <v>1.1356472353335598</v>
      </c>
      <c r="Q40" s="2">
        <f>LN(10)/9</f>
        <v>0.25584278811044953</v>
      </c>
    </row>
    <row r="41" spans="1:17" hidden="1" x14ac:dyDescent="0.15"/>
  </sheetData>
  <mergeCells count="3">
    <mergeCell ref="H1:M1"/>
    <mergeCell ref="N1:Y1"/>
    <mergeCell ref="B1:G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I25" sqref="I25"/>
    </sheetView>
  </sheetViews>
  <sheetFormatPr defaultRowHeight="16.5" x14ac:dyDescent="0.15"/>
  <cols>
    <col min="1" max="1" width="7.25" style="2" bestFit="1" customWidth="1"/>
    <col min="2" max="2" width="21.375" style="2" bestFit="1" customWidth="1"/>
    <col min="3" max="3" width="9" style="2"/>
    <col min="4" max="4" width="20.5" style="2" bestFit="1" customWidth="1"/>
    <col min="5" max="5" width="14.25" style="2" customWidth="1"/>
    <col min="6" max="16384" width="9" style="2"/>
  </cols>
  <sheetData>
    <row r="1" spans="1:5" x14ac:dyDescent="0.15">
      <c r="A1" s="139" t="s">
        <v>625</v>
      </c>
      <c r="B1" s="139" t="s">
        <v>626</v>
      </c>
      <c r="C1" s="140" t="s">
        <v>627</v>
      </c>
      <c r="D1" s="141" t="s">
        <v>628</v>
      </c>
      <c r="E1" s="141" t="s">
        <v>629</v>
      </c>
    </row>
    <row r="2" spans="1:5" x14ac:dyDescent="0.15">
      <c r="A2" s="142" t="s">
        <v>630</v>
      </c>
      <c r="B2" s="142" t="s">
        <v>631</v>
      </c>
      <c r="C2" s="143" t="s">
        <v>632</v>
      </c>
      <c r="D2" s="144" t="s">
        <v>633</v>
      </c>
      <c r="E2" s="144" t="s">
        <v>634</v>
      </c>
    </row>
    <row r="3" spans="1:5" x14ac:dyDescent="0.15">
      <c r="A3" s="145" t="s">
        <v>635</v>
      </c>
      <c r="B3" s="145" t="s">
        <v>635</v>
      </c>
      <c r="C3" s="144" t="s">
        <v>636</v>
      </c>
      <c r="D3" s="146" t="s">
        <v>637</v>
      </c>
      <c r="E3" s="146" t="s">
        <v>637</v>
      </c>
    </row>
    <row r="4" spans="1:5" x14ac:dyDescent="0.15">
      <c r="A4" s="145" t="s">
        <v>638</v>
      </c>
      <c r="B4" s="145" t="s">
        <v>638</v>
      </c>
      <c r="C4" s="144" t="s">
        <v>639</v>
      </c>
      <c r="D4" s="146" t="s">
        <v>640</v>
      </c>
      <c r="E4" s="146" t="s">
        <v>640</v>
      </c>
    </row>
    <row r="5" spans="1:5" x14ac:dyDescent="0.15">
      <c r="A5" s="2">
        <v>1</v>
      </c>
      <c r="B5" s="2">
        <v>1</v>
      </c>
      <c r="C5" s="2">
        <v>2</v>
      </c>
      <c r="D5" s="2">
        <f>'table (no research)'!M3/60</f>
        <v>2</v>
      </c>
      <c r="E5" s="2">
        <f>D5*60*24</f>
        <v>2880</v>
      </c>
    </row>
    <row r="6" spans="1:5" x14ac:dyDescent="0.15">
      <c r="A6" s="2">
        <v>2</v>
      </c>
      <c r="B6" s="2">
        <v>2</v>
      </c>
      <c r="C6" s="2">
        <v>2</v>
      </c>
      <c r="D6" s="2">
        <f>'table (no research)'!M4/60</f>
        <v>4</v>
      </c>
      <c r="E6" s="2">
        <f t="shared" ref="E6:E29" si="0">D6*60*24</f>
        <v>5760</v>
      </c>
    </row>
    <row r="7" spans="1:5" x14ac:dyDescent="0.15">
      <c r="A7" s="2">
        <v>3</v>
      </c>
      <c r="B7" s="2">
        <v>3</v>
      </c>
      <c r="C7" s="2">
        <v>2</v>
      </c>
      <c r="D7" s="2">
        <f>'table (no research)'!M5/60</f>
        <v>6</v>
      </c>
      <c r="E7" s="2">
        <f t="shared" si="0"/>
        <v>8640</v>
      </c>
    </row>
    <row r="8" spans="1:5" x14ac:dyDescent="0.15">
      <c r="A8" s="2">
        <v>4</v>
      </c>
      <c r="B8" s="2">
        <v>4</v>
      </c>
      <c r="C8" s="2">
        <v>2</v>
      </c>
      <c r="D8" s="2">
        <f>'table (no research)'!M6/60</f>
        <v>8</v>
      </c>
      <c r="E8" s="2">
        <f t="shared" si="0"/>
        <v>11520</v>
      </c>
    </row>
    <row r="9" spans="1:5" x14ac:dyDescent="0.15">
      <c r="A9" s="2">
        <v>5</v>
      </c>
      <c r="B9" s="2">
        <v>5</v>
      </c>
      <c r="C9" s="2">
        <v>2</v>
      </c>
      <c r="D9" s="2">
        <f>'table (no research)'!M7/60</f>
        <v>10</v>
      </c>
      <c r="E9" s="2">
        <f t="shared" si="0"/>
        <v>14400</v>
      </c>
    </row>
    <row r="10" spans="1:5" x14ac:dyDescent="0.15">
      <c r="A10" s="2">
        <v>6</v>
      </c>
      <c r="B10" s="2">
        <v>6</v>
      </c>
      <c r="C10" s="2">
        <v>2</v>
      </c>
      <c r="D10" s="2">
        <f>'table (no research)'!M8/60</f>
        <v>12</v>
      </c>
      <c r="E10" s="2">
        <f t="shared" si="0"/>
        <v>17280</v>
      </c>
    </row>
    <row r="11" spans="1:5" x14ac:dyDescent="0.15">
      <c r="A11" s="2">
        <v>7</v>
      </c>
      <c r="B11" s="2">
        <v>7</v>
      </c>
      <c r="C11" s="2">
        <v>2</v>
      </c>
      <c r="D11" s="2">
        <f>'table (no research)'!M9/60</f>
        <v>14</v>
      </c>
      <c r="E11" s="2">
        <f t="shared" si="0"/>
        <v>20160</v>
      </c>
    </row>
    <row r="12" spans="1:5" x14ac:dyDescent="0.15">
      <c r="A12" s="2">
        <v>8</v>
      </c>
      <c r="B12" s="2">
        <v>8</v>
      </c>
      <c r="C12" s="2">
        <v>2</v>
      </c>
      <c r="D12" s="2">
        <f>'table (no research)'!M10/60</f>
        <v>16</v>
      </c>
      <c r="E12" s="2">
        <f t="shared" si="0"/>
        <v>23040</v>
      </c>
    </row>
    <row r="13" spans="1:5" x14ac:dyDescent="0.15">
      <c r="A13" s="2">
        <v>9</v>
      </c>
      <c r="B13" s="2">
        <v>9</v>
      </c>
      <c r="C13" s="2">
        <v>2</v>
      </c>
      <c r="D13" s="2">
        <f>'table (no research)'!M11/60</f>
        <v>18</v>
      </c>
      <c r="E13" s="2">
        <f t="shared" si="0"/>
        <v>25920</v>
      </c>
    </row>
    <row r="14" spans="1:5" x14ac:dyDescent="0.15">
      <c r="A14" s="2">
        <v>10</v>
      </c>
      <c r="B14" s="2">
        <v>10</v>
      </c>
      <c r="C14" s="2">
        <v>2</v>
      </c>
      <c r="D14" s="2">
        <f>'table (no research)'!M12/60</f>
        <v>20</v>
      </c>
      <c r="E14" s="2">
        <f t="shared" si="0"/>
        <v>28800</v>
      </c>
    </row>
    <row r="15" spans="1:5" x14ac:dyDescent="0.15">
      <c r="A15" s="2">
        <v>11</v>
      </c>
      <c r="B15" s="2">
        <v>11</v>
      </c>
      <c r="C15" s="2">
        <v>2</v>
      </c>
      <c r="D15" s="2">
        <f>'table (no research)'!M13/60</f>
        <v>22</v>
      </c>
      <c r="E15" s="2">
        <f t="shared" si="0"/>
        <v>31680</v>
      </c>
    </row>
    <row r="16" spans="1:5" x14ac:dyDescent="0.15">
      <c r="A16" s="2">
        <v>12</v>
      </c>
      <c r="B16" s="2">
        <v>12</v>
      </c>
      <c r="C16" s="2">
        <v>2</v>
      </c>
      <c r="D16" s="2">
        <f>'table (no research)'!M14/60</f>
        <v>24</v>
      </c>
      <c r="E16" s="2">
        <f t="shared" si="0"/>
        <v>34560</v>
      </c>
    </row>
    <row r="17" spans="1:5" x14ac:dyDescent="0.15">
      <c r="A17" s="2">
        <v>13</v>
      </c>
      <c r="B17" s="2">
        <v>13</v>
      </c>
      <c r="C17" s="2">
        <v>2</v>
      </c>
      <c r="D17" s="2">
        <f>'table (no research)'!M15/60</f>
        <v>26</v>
      </c>
      <c r="E17" s="2">
        <f t="shared" si="0"/>
        <v>37440</v>
      </c>
    </row>
    <row r="18" spans="1:5" x14ac:dyDescent="0.15">
      <c r="A18" s="2">
        <v>14</v>
      </c>
      <c r="B18" s="2">
        <v>14</v>
      </c>
      <c r="C18" s="2">
        <v>2</v>
      </c>
      <c r="D18" s="2">
        <f>'table (no research)'!M16/60</f>
        <v>28</v>
      </c>
      <c r="E18" s="2">
        <f t="shared" si="0"/>
        <v>40320</v>
      </c>
    </row>
    <row r="19" spans="1:5" x14ac:dyDescent="0.15">
      <c r="A19" s="2">
        <v>15</v>
      </c>
      <c r="B19" s="2">
        <v>15</v>
      </c>
      <c r="C19" s="2">
        <v>2</v>
      </c>
      <c r="D19" s="2">
        <f>'table (no research)'!M17/60</f>
        <v>30</v>
      </c>
      <c r="E19" s="2">
        <f t="shared" si="0"/>
        <v>43200</v>
      </c>
    </row>
    <row r="20" spans="1:5" x14ac:dyDescent="0.15">
      <c r="A20" s="2">
        <v>16</v>
      </c>
      <c r="B20" s="2">
        <v>16</v>
      </c>
      <c r="C20" s="2">
        <v>2</v>
      </c>
      <c r="D20" s="2">
        <f>'table (no research)'!M18/60</f>
        <v>32</v>
      </c>
      <c r="E20" s="2">
        <f t="shared" si="0"/>
        <v>46080</v>
      </c>
    </row>
    <row r="21" spans="1:5" x14ac:dyDescent="0.15">
      <c r="A21" s="2">
        <v>17</v>
      </c>
      <c r="B21" s="2">
        <v>17</v>
      </c>
      <c r="C21" s="2">
        <v>2</v>
      </c>
      <c r="D21" s="2">
        <f>'table (no research)'!M19/60</f>
        <v>34</v>
      </c>
      <c r="E21" s="2">
        <f t="shared" si="0"/>
        <v>48960</v>
      </c>
    </row>
    <row r="22" spans="1:5" x14ac:dyDescent="0.15">
      <c r="A22" s="2">
        <v>18</v>
      </c>
      <c r="B22" s="2">
        <v>18</v>
      </c>
      <c r="C22" s="2">
        <v>2</v>
      </c>
      <c r="D22" s="2">
        <f>'table (no research)'!M20/60</f>
        <v>36</v>
      </c>
      <c r="E22" s="2">
        <f t="shared" si="0"/>
        <v>51840</v>
      </c>
    </row>
    <row r="23" spans="1:5" x14ac:dyDescent="0.15">
      <c r="A23" s="2">
        <v>19</v>
      </c>
      <c r="B23" s="2">
        <v>19</v>
      </c>
      <c r="C23" s="2">
        <v>2</v>
      </c>
      <c r="D23" s="2">
        <f>'table (no research)'!M21/60</f>
        <v>38</v>
      </c>
      <c r="E23" s="2">
        <f t="shared" si="0"/>
        <v>54720</v>
      </c>
    </row>
    <row r="24" spans="1:5" x14ac:dyDescent="0.15">
      <c r="A24" s="2">
        <v>20</v>
      </c>
      <c r="B24" s="2">
        <v>20</v>
      </c>
      <c r="C24" s="2">
        <v>2</v>
      </c>
      <c r="D24" s="2">
        <f>'table (no research)'!M22/60</f>
        <v>40</v>
      </c>
      <c r="E24" s="2">
        <f t="shared" si="0"/>
        <v>57600</v>
      </c>
    </row>
    <row r="25" spans="1:5" x14ac:dyDescent="0.15">
      <c r="A25" s="2">
        <v>21</v>
      </c>
      <c r="B25" s="2">
        <v>21</v>
      </c>
      <c r="C25" s="2">
        <v>2</v>
      </c>
      <c r="D25" s="2">
        <f>'table (no research)'!M23/60</f>
        <v>42</v>
      </c>
      <c r="E25" s="2">
        <f t="shared" si="0"/>
        <v>60480</v>
      </c>
    </row>
    <row r="26" spans="1:5" x14ac:dyDescent="0.15">
      <c r="A26" s="2">
        <v>22</v>
      </c>
      <c r="B26" s="2">
        <v>22</v>
      </c>
      <c r="C26" s="2">
        <v>2</v>
      </c>
      <c r="D26" s="2">
        <f>'table (no research)'!M24/60</f>
        <v>44</v>
      </c>
      <c r="E26" s="2">
        <f t="shared" si="0"/>
        <v>63360</v>
      </c>
    </row>
    <row r="27" spans="1:5" x14ac:dyDescent="0.15">
      <c r="A27" s="2">
        <v>23</v>
      </c>
      <c r="B27" s="2">
        <v>23</v>
      </c>
      <c r="C27" s="2">
        <v>2</v>
      </c>
      <c r="D27" s="2">
        <f>'table (no research)'!M25/60</f>
        <v>46</v>
      </c>
      <c r="E27" s="2">
        <f t="shared" si="0"/>
        <v>66240</v>
      </c>
    </row>
    <row r="28" spans="1:5" x14ac:dyDescent="0.15">
      <c r="A28" s="2">
        <v>24</v>
      </c>
      <c r="B28" s="2">
        <v>24</v>
      </c>
      <c r="C28" s="2">
        <v>2</v>
      </c>
      <c r="D28" s="2">
        <f>'table (no research)'!M26/60</f>
        <v>48</v>
      </c>
      <c r="E28" s="2">
        <f t="shared" si="0"/>
        <v>69120</v>
      </c>
    </row>
    <row r="29" spans="1:5" x14ac:dyDescent="0.15">
      <c r="A29" s="2">
        <v>25</v>
      </c>
      <c r="B29" s="2">
        <v>25</v>
      </c>
      <c r="C29" s="2">
        <v>2</v>
      </c>
      <c r="D29" s="2">
        <f>'table (no research)'!M27/60</f>
        <v>50</v>
      </c>
      <c r="E29" s="2">
        <f t="shared" si="0"/>
        <v>72000</v>
      </c>
    </row>
    <row r="30" spans="1:5" x14ac:dyDescent="0.15">
      <c r="A30" s="2">
        <v>26</v>
      </c>
      <c r="B30" s="2">
        <v>1</v>
      </c>
      <c r="C30" s="2">
        <v>3</v>
      </c>
      <c r="D30" s="2">
        <v>2</v>
      </c>
      <c r="E30" s="2">
        <v>2880</v>
      </c>
    </row>
    <row r="31" spans="1:5" x14ac:dyDescent="0.15">
      <c r="A31" s="2">
        <v>27</v>
      </c>
      <c r="B31" s="2">
        <v>2</v>
      </c>
      <c r="C31" s="2">
        <v>3</v>
      </c>
      <c r="D31" s="2">
        <v>4</v>
      </c>
      <c r="E31" s="2">
        <v>5760</v>
      </c>
    </row>
    <row r="32" spans="1:5" x14ac:dyDescent="0.15">
      <c r="A32" s="2">
        <v>28</v>
      </c>
      <c r="B32" s="2">
        <v>3</v>
      </c>
      <c r="C32" s="2">
        <v>3</v>
      </c>
      <c r="D32" s="2">
        <v>6</v>
      </c>
      <c r="E32" s="2">
        <v>8640</v>
      </c>
    </row>
    <row r="33" spans="1:5" x14ac:dyDescent="0.15">
      <c r="A33" s="2">
        <v>29</v>
      </c>
      <c r="B33" s="2">
        <v>4</v>
      </c>
      <c r="C33" s="2">
        <v>3</v>
      </c>
      <c r="D33" s="2">
        <v>8</v>
      </c>
      <c r="E33" s="2">
        <v>11520</v>
      </c>
    </row>
    <row r="34" spans="1:5" x14ac:dyDescent="0.15">
      <c r="A34" s="2">
        <v>30</v>
      </c>
      <c r="B34" s="2">
        <v>5</v>
      </c>
      <c r="C34" s="2">
        <v>3</v>
      </c>
      <c r="D34" s="2">
        <v>10</v>
      </c>
      <c r="E34" s="2">
        <v>14400</v>
      </c>
    </row>
    <row r="35" spans="1:5" x14ac:dyDescent="0.15">
      <c r="A35" s="2">
        <v>31</v>
      </c>
      <c r="B35" s="2">
        <v>6</v>
      </c>
      <c r="C35" s="2">
        <v>3</v>
      </c>
      <c r="D35" s="2">
        <v>12</v>
      </c>
      <c r="E35" s="2">
        <v>17280</v>
      </c>
    </row>
    <row r="36" spans="1:5" x14ac:dyDescent="0.15">
      <c r="A36" s="2">
        <v>32</v>
      </c>
      <c r="B36" s="2">
        <v>7</v>
      </c>
      <c r="C36" s="2">
        <v>3</v>
      </c>
      <c r="D36" s="2">
        <v>14</v>
      </c>
      <c r="E36" s="2">
        <v>20160</v>
      </c>
    </row>
    <row r="37" spans="1:5" x14ac:dyDescent="0.15">
      <c r="A37" s="2">
        <v>33</v>
      </c>
      <c r="B37" s="2">
        <v>8</v>
      </c>
      <c r="C37" s="2">
        <v>3</v>
      </c>
      <c r="D37" s="2">
        <v>16</v>
      </c>
      <c r="E37" s="2">
        <v>23040</v>
      </c>
    </row>
    <row r="38" spans="1:5" x14ac:dyDescent="0.15">
      <c r="A38" s="2">
        <v>34</v>
      </c>
      <c r="B38" s="2">
        <v>9</v>
      </c>
      <c r="C38" s="2">
        <v>3</v>
      </c>
      <c r="D38" s="2">
        <v>18</v>
      </c>
      <c r="E38" s="2">
        <v>25920</v>
      </c>
    </row>
    <row r="39" spans="1:5" x14ac:dyDescent="0.15">
      <c r="A39" s="2">
        <v>35</v>
      </c>
      <c r="B39" s="2">
        <v>10</v>
      </c>
      <c r="C39" s="2">
        <v>3</v>
      </c>
      <c r="D39" s="2">
        <v>20</v>
      </c>
      <c r="E39" s="2">
        <v>28800</v>
      </c>
    </row>
    <row r="40" spans="1:5" x14ac:dyDescent="0.15">
      <c r="A40" s="2">
        <v>36</v>
      </c>
      <c r="B40" s="2">
        <v>11</v>
      </c>
      <c r="C40" s="2">
        <v>3</v>
      </c>
      <c r="D40" s="2">
        <v>22</v>
      </c>
      <c r="E40" s="2">
        <v>31680</v>
      </c>
    </row>
    <row r="41" spans="1:5" x14ac:dyDescent="0.15">
      <c r="A41" s="2">
        <v>37</v>
      </c>
      <c r="B41" s="2">
        <v>12</v>
      </c>
      <c r="C41" s="2">
        <v>3</v>
      </c>
      <c r="D41" s="2">
        <v>24</v>
      </c>
      <c r="E41" s="2">
        <v>34560</v>
      </c>
    </row>
    <row r="42" spans="1:5" x14ac:dyDescent="0.15">
      <c r="A42" s="2">
        <v>38</v>
      </c>
      <c r="B42" s="2">
        <v>13</v>
      </c>
      <c r="C42" s="2">
        <v>3</v>
      </c>
      <c r="D42" s="2">
        <v>26</v>
      </c>
      <c r="E42" s="2">
        <v>37440</v>
      </c>
    </row>
    <row r="43" spans="1:5" x14ac:dyDescent="0.15">
      <c r="A43" s="2">
        <v>39</v>
      </c>
      <c r="B43" s="2">
        <v>14</v>
      </c>
      <c r="C43" s="2">
        <v>3</v>
      </c>
      <c r="D43" s="2">
        <v>28</v>
      </c>
      <c r="E43" s="2">
        <v>40320</v>
      </c>
    </row>
    <row r="44" spans="1:5" x14ac:dyDescent="0.15">
      <c r="A44" s="2">
        <v>40</v>
      </c>
      <c r="B44" s="2">
        <v>15</v>
      </c>
      <c r="C44" s="2">
        <v>3</v>
      </c>
      <c r="D44" s="2">
        <v>30</v>
      </c>
      <c r="E44" s="2">
        <v>43200</v>
      </c>
    </row>
    <row r="45" spans="1:5" x14ac:dyDescent="0.15">
      <c r="A45" s="2">
        <v>41</v>
      </c>
      <c r="B45" s="2">
        <v>16</v>
      </c>
      <c r="C45" s="2">
        <v>3</v>
      </c>
      <c r="D45" s="2">
        <v>32</v>
      </c>
      <c r="E45" s="2">
        <v>46080</v>
      </c>
    </row>
    <row r="46" spans="1:5" x14ac:dyDescent="0.15">
      <c r="A46" s="2">
        <v>42</v>
      </c>
      <c r="B46" s="2">
        <v>17</v>
      </c>
      <c r="C46" s="2">
        <v>3</v>
      </c>
      <c r="D46" s="2">
        <v>34</v>
      </c>
      <c r="E46" s="2">
        <v>48960</v>
      </c>
    </row>
    <row r="47" spans="1:5" x14ac:dyDescent="0.15">
      <c r="A47" s="2">
        <v>43</v>
      </c>
      <c r="B47" s="2">
        <v>18</v>
      </c>
      <c r="C47" s="2">
        <v>3</v>
      </c>
      <c r="D47" s="2">
        <v>36</v>
      </c>
      <c r="E47" s="2">
        <v>51840</v>
      </c>
    </row>
    <row r="48" spans="1:5" x14ac:dyDescent="0.15">
      <c r="A48" s="2">
        <v>44</v>
      </c>
      <c r="B48" s="2">
        <v>19</v>
      </c>
      <c r="C48" s="2">
        <v>3</v>
      </c>
      <c r="D48" s="2">
        <v>38</v>
      </c>
      <c r="E48" s="2">
        <v>54720</v>
      </c>
    </row>
    <row r="49" spans="1:5" x14ac:dyDescent="0.15">
      <c r="A49" s="2">
        <v>45</v>
      </c>
      <c r="B49" s="2">
        <v>20</v>
      </c>
      <c r="C49" s="2">
        <v>3</v>
      </c>
      <c r="D49" s="2">
        <v>40</v>
      </c>
      <c r="E49" s="2">
        <v>57600</v>
      </c>
    </row>
    <row r="50" spans="1:5" x14ac:dyDescent="0.15">
      <c r="A50" s="2">
        <v>46</v>
      </c>
      <c r="B50" s="2">
        <v>21</v>
      </c>
      <c r="C50" s="2">
        <v>3</v>
      </c>
      <c r="D50" s="2">
        <v>42</v>
      </c>
      <c r="E50" s="2">
        <v>60480</v>
      </c>
    </row>
    <row r="51" spans="1:5" x14ac:dyDescent="0.15">
      <c r="A51" s="2">
        <v>47</v>
      </c>
      <c r="B51" s="2">
        <v>22</v>
      </c>
      <c r="C51" s="2">
        <v>3</v>
      </c>
      <c r="D51" s="2">
        <v>44</v>
      </c>
      <c r="E51" s="2">
        <v>63360</v>
      </c>
    </row>
    <row r="52" spans="1:5" x14ac:dyDescent="0.15">
      <c r="A52" s="2">
        <v>48</v>
      </c>
      <c r="B52" s="2">
        <v>23</v>
      </c>
      <c r="C52" s="2">
        <v>3</v>
      </c>
      <c r="D52" s="2">
        <v>46</v>
      </c>
      <c r="E52" s="2">
        <v>66240</v>
      </c>
    </row>
    <row r="53" spans="1:5" x14ac:dyDescent="0.15">
      <c r="A53" s="2">
        <v>49</v>
      </c>
      <c r="B53" s="2">
        <v>24</v>
      </c>
      <c r="C53" s="2">
        <v>3</v>
      </c>
      <c r="D53" s="2">
        <v>48</v>
      </c>
      <c r="E53" s="2">
        <v>69120</v>
      </c>
    </row>
    <row r="54" spans="1:5" x14ac:dyDescent="0.15">
      <c r="A54" s="2">
        <v>50</v>
      </c>
      <c r="B54" s="2">
        <v>25</v>
      </c>
      <c r="C54" s="2">
        <v>3</v>
      </c>
      <c r="D54" s="2">
        <v>50</v>
      </c>
      <c r="E54" s="2">
        <v>72000</v>
      </c>
    </row>
    <row r="55" spans="1:5" x14ac:dyDescent="0.15">
      <c r="A55" s="2">
        <v>51</v>
      </c>
      <c r="B55" s="2">
        <v>1</v>
      </c>
      <c r="C55" s="2">
        <v>4</v>
      </c>
      <c r="D55" s="2">
        <v>2</v>
      </c>
      <c r="E55" s="2">
        <v>2880</v>
      </c>
    </row>
    <row r="56" spans="1:5" x14ac:dyDescent="0.15">
      <c r="A56" s="2">
        <v>52</v>
      </c>
      <c r="B56" s="2">
        <v>2</v>
      </c>
      <c r="C56" s="2">
        <v>4</v>
      </c>
      <c r="D56" s="2">
        <v>4</v>
      </c>
      <c r="E56" s="2">
        <v>5760</v>
      </c>
    </row>
    <row r="57" spans="1:5" x14ac:dyDescent="0.15">
      <c r="A57" s="2">
        <v>53</v>
      </c>
      <c r="B57" s="2">
        <v>3</v>
      </c>
      <c r="C57" s="2">
        <v>4</v>
      </c>
      <c r="D57" s="2">
        <v>6</v>
      </c>
      <c r="E57" s="2">
        <v>8640</v>
      </c>
    </row>
    <row r="58" spans="1:5" x14ac:dyDescent="0.15">
      <c r="A58" s="2">
        <v>54</v>
      </c>
      <c r="B58" s="2">
        <v>4</v>
      </c>
      <c r="C58" s="2">
        <v>4</v>
      </c>
      <c r="D58" s="2">
        <v>8</v>
      </c>
      <c r="E58" s="2">
        <v>11520</v>
      </c>
    </row>
    <row r="59" spans="1:5" x14ac:dyDescent="0.15">
      <c r="A59" s="2">
        <v>55</v>
      </c>
      <c r="B59" s="2">
        <v>5</v>
      </c>
      <c r="C59" s="2">
        <v>4</v>
      </c>
      <c r="D59" s="2">
        <v>10</v>
      </c>
      <c r="E59" s="2">
        <v>14400</v>
      </c>
    </row>
    <row r="60" spans="1:5" x14ac:dyDescent="0.15">
      <c r="A60" s="2">
        <v>56</v>
      </c>
      <c r="B60" s="2">
        <v>6</v>
      </c>
      <c r="C60" s="2">
        <v>4</v>
      </c>
      <c r="D60" s="2">
        <v>12</v>
      </c>
      <c r="E60" s="2">
        <v>17280</v>
      </c>
    </row>
    <row r="61" spans="1:5" x14ac:dyDescent="0.15">
      <c r="A61" s="2">
        <v>57</v>
      </c>
      <c r="B61" s="2">
        <v>7</v>
      </c>
      <c r="C61" s="2">
        <v>4</v>
      </c>
      <c r="D61" s="2">
        <v>14</v>
      </c>
      <c r="E61" s="2">
        <v>20160</v>
      </c>
    </row>
    <row r="62" spans="1:5" x14ac:dyDescent="0.15">
      <c r="A62" s="2">
        <v>58</v>
      </c>
      <c r="B62" s="2">
        <v>8</v>
      </c>
      <c r="C62" s="2">
        <v>4</v>
      </c>
      <c r="D62" s="2">
        <v>16</v>
      </c>
      <c r="E62" s="2">
        <v>23040</v>
      </c>
    </row>
    <row r="63" spans="1:5" x14ac:dyDescent="0.15">
      <c r="A63" s="2">
        <v>59</v>
      </c>
      <c r="B63" s="2">
        <v>9</v>
      </c>
      <c r="C63" s="2">
        <v>4</v>
      </c>
      <c r="D63" s="2">
        <v>18</v>
      </c>
      <c r="E63" s="2">
        <v>25920</v>
      </c>
    </row>
    <row r="64" spans="1:5" x14ac:dyDescent="0.15">
      <c r="A64" s="2">
        <v>60</v>
      </c>
      <c r="B64" s="2">
        <v>10</v>
      </c>
      <c r="C64" s="2">
        <v>4</v>
      </c>
      <c r="D64" s="2">
        <v>20</v>
      </c>
      <c r="E64" s="2">
        <v>28800</v>
      </c>
    </row>
    <row r="65" spans="1:5" x14ac:dyDescent="0.15">
      <c r="A65" s="2">
        <v>61</v>
      </c>
      <c r="B65" s="2">
        <v>11</v>
      </c>
      <c r="C65" s="2">
        <v>4</v>
      </c>
      <c r="D65" s="2">
        <v>22</v>
      </c>
      <c r="E65" s="2">
        <v>31680</v>
      </c>
    </row>
    <row r="66" spans="1:5" x14ac:dyDescent="0.15">
      <c r="A66" s="2">
        <v>62</v>
      </c>
      <c r="B66" s="2">
        <v>12</v>
      </c>
      <c r="C66" s="2">
        <v>4</v>
      </c>
      <c r="D66" s="2">
        <v>24</v>
      </c>
      <c r="E66" s="2">
        <v>34560</v>
      </c>
    </row>
    <row r="67" spans="1:5" x14ac:dyDescent="0.15">
      <c r="A67" s="2">
        <v>63</v>
      </c>
      <c r="B67" s="2">
        <v>13</v>
      </c>
      <c r="C67" s="2">
        <v>4</v>
      </c>
      <c r="D67" s="2">
        <v>26</v>
      </c>
      <c r="E67" s="2">
        <v>37440</v>
      </c>
    </row>
    <row r="68" spans="1:5" x14ac:dyDescent="0.15">
      <c r="A68" s="2">
        <v>64</v>
      </c>
      <c r="B68" s="2">
        <v>14</v>
      </c>
      <c r="C68" s="2">
        <v>4</v>
      </c>
      <c r="D68" s="2">
        <v>28</v>
      </c>
      <c r="E68" s="2">
        <v>40320</v>
      </c>
    </row>
    <row r="69" spans="1:5" x14ac:dyDescent="0.15">
      <c r="A69" s="2">
        <v>65</v>
      </c>
      <c r="B69" s="2">
        <v>15</v>
      </c>
      <c r="C69" s="2">
        <v>4</v>
      </c>
      <c r="D69" s="2">
        <v>30</v>
      </c>
      <c r="E69" s="2">
        <v>43200</v>
      </c>
    </row>
    <row r="70" spans="1:5" x14ac:dyDescent="0.15">
      <c r="A70" s="2">
        <v>66</v>
      </c>
      <c r="B70" s="2">
        <v>16</v>
      </c>
      <c r="C70" s="2">
        <v>4</v>
      </c>
      <c r="D70" s="2">
        <v>32</v>
      </c>
      <c r="E70" s="2">
        <v>46080</v>
      </c>
    </row>
    <row r="71" spans="1:5" x14ac:dyDescent="0.15">
      <c r="A71" s="2">
        <v>67</v>
      </c>
      <c r="B71" s="2">
        <v>17</v>
      </c>
      <c r="C71" s="2">
        <v>4</v>
      </c>
      <c r="D71" s="2">
        <v>34</v>
      </c>
      <c r="E71" s="2">
        <v>48960</v>
      </c>
    </row>
    <row r="72" spans="1:5" x14ac:dyDescent="0.15">
      <c r="A72" s="2">
        <v>68</v>
      </c>
      <c r="B72" s="2">
        <v>18</v>
      </c>
      <c r="C72" s="2">
        <v>4</v>
      </c>
      <c r="D72" s="2">
        <v>36</v>
      </c>
      <c r="E72" s="2">
        <v>51840</v>
      </c>
    </row>
    <row r="73" spans="1:5" x14ac:dyDescent="0.15">
      <c r="A73" s="2">
        <v>69</v>
      </c>
      <c r="B73" s="2">
        <v>19</v>
      </c>
      <c r="C73" s="2">
        <v>4</v>
      </c>
      <c r="D73" s="2">
        <v>38</v>
      </c>
      <c r="E73" s="2">
        <v>54720</v>
      </c>
    </row>
    <row r="74" spans="1:5" x14ac:dyDescent="0.15">
      <c r="A74" s="2">
        <v>70</v>
      </c>
      <c r="B74" s="2">
        <v>20</v>
      </c>
      <c r="C74" s="2">
        <v>4</v>
      </c>
      <c r="D74" s="2">
        <v>40</v>
      </c>
      <c r="E74" s="2">
        <v>57600</v>
      </c>
    </row>
    <row r="75" spans="1:5" x14ac:dyDescent="0.15">
      <c r="A75" s="2">
        <v>71</v>
      </c>
      <c r="B75" s="2">
        <v>21</v>
      </c>
      <c r="C75" s="2">
        <v>4</v>
      </c>
      <c r="D75" s="2">
        <v>42</v>
      </c>
      <c r="E75" s="2">
        <v>60480</v>
      </c>
    </row>
    <row r="76" spans="1:5" x14ac:dyDescent="0.15">
      <c r="A76" s="2">
        <v>72</v>
      </c>
      <c r="B76" s="2">
        <v>22</v>
      </c>
      <c r="C76" s="2">
        <v>4</v>
      </c>
      <c r="D76" s="2">
        <v>44</v>
      </c>
      <c r="E76" s="2">
        <v>63360</v>
      </c>
    </row>
    <row r="77" spans="1:5" x14ac:dyDescent="0.15">
      <c r="A77" s="2">
        <v>73</v>
      </c>
      <c r="B77" s="2">
        <v>23</v>
      </c>
      <c r="C77" s="2">
        <v>4</v>
      </c>
      <c r="D77" s="2">
        <v>46</v>
      </c>
      <c r="E77" s="2">
        <v>66240</v>
      </c>
    </row>
    <row r="78" spans="1:5" x14ac:dyDescent="0.15">
      <c r="A78" s="2">
        <v>74</v>
      </c>
      <c r="B78" s="2">
        <v>24</v>
      </c>
      <c r="C78" s="2">
        <v>4</v>
      </c>
      <c r="D78" s="2">
        <v>48</v>
      </c>
      <c r="E78" s="2">
        <v>69120</v>
      </c>
    </row>
    <row r="79" spans="1:5" x14ac:dyDescent="0.15">
      <c r="A79" s="2">
        <v>75</v>
      </c>
      <c r="B79" s="2">
        <v>25</v>
      </c>
      <c r="C79" s="2">
        <v>4</v>
      </c>
      <c r="D79" s="2">
        <v>50</v>
      </c>
      <c r="E79" s="2">
        <v>72000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workbookViewId="0">
      <selection activeCell="N22" sqref="N22"/>
    </sheetView>
  </sheetViews>
  <sheetFormatPr defaultColWidth="8.875" defaultRowHeight="16.5" x14ac:dyDescent="0.15"/>
  <cols>
    <col min="1" max="2" width="8.875" style="76"/>
    <col min="3" max="3" width="10.625" style="155" customWidth="1"/>
    <col min="4" max="5" width="9" style="155" customWidth="1"/>
    <col min="6" max="258" width="8.875" style="76"/>
    <col min="259" max="259" width="13.25" style="76" customWidth="1"/>
    <col min="260" max="261" width="9" style="76" customWidth="1"/>
    <col min="262" max="514" width="8.875" style="76"/>
    <col min="515" max="515" width="13.25" style="76" customWidth="1"/>
    <col min="516" max="517" width="9" style="76" customWidth="1"/>
    <col min="518" max="770" width="8.875" style="76"/>
    <col min="771" max="771" width="13.25" style="76" customWidth="1"/>
    <col min="772" max="773" width="9" style="76" customWidth="1"/>
    <col min="774" max="1026" width="8.875" style="76"/>
    <col min="1027" max="1027" width="13.25" style="76" customWidth="1"/>
    <col min="1028" max="1029" width="9" style="76" customWidth="1"/>
    <col min="1030" max="1282" width="8.875" style="76"/>
    <col min="1283" max="1283" width="13.25" style="76" customWidth="1"/>
    <col min="1284" max="1285" width="9" style="76" customWidth="1"/>
    <col min="1286" max="1538" width="8.875" style="76"/>
    <col min="1539" max="1539" width="13.25" style="76" customWidth="1"/>
    <col min="1540" max="1541" width="9" style="76" customWidth="1"/>
    <col min="1542" max="1794" width="8.875" style="76"/>
    <col min="1795" max="1795" width="13.25" style="76" customWidth="1"/>
    <col min="1796" max="1797" width="9" style="76" customWidth="1"/>
    <col min="1798" max="2050" width="8.875" style="76"/>
    <col min="2051" max="2051" width="13.25" style="76" customWidth="1"/>
    <col min="2052" max="2053" width="9" style="76" customWidth="1"/>
    <col min="2054" max="2306" width="8.875" style="76"/>
    <col min="2307" max="2307" width="13.25" style="76" customWidth="1"/>
    <col min="2308" max="2309" width="9" style="76" customWidth="1"/>
    <col min="2310" max="2562" width="8.875" style="76"/>
    <col min="2563" max="2563" width="13.25" style="76" customWidth="1"/>
    <col min="2564" max="2565" width="9" style="76" customWidth="1"/>
    <col min="2566" max="2818" width="8.875" style="76"/>
    <col min="2819" max="2819" width="13.25" style="76" customWidth="1"/>
    <col min="2820" max="2821" width="9" style="76" customWidth="1"/>
    <col min="2822" max="3074" width="8.875" style="76"/>
    <col min="3075" max="3075" width="13.25" style="76" customWidth="1"/>
    <col min="3076" max="3077" width="9" style="76" customWidth="1"/>
    <col min="3078" max="3330" width="8.875" style="76"/>
    <col min="3331" max="3331" width="13.25" style="76" customWidth="1"/>
    <col min="3332" max="3333" width="9" style="76" customWidth="1"/>
    <col min="3334" max="3586" width="8.875" style="76"/>
    <col min="3587" max="3587" width="13.25" style="76" customWidth="1"/>
    <col min="3588" max="3589" width="9" style="76" customWidth="1"/>
    <col min="3590" max="3842" width="8.875" style="76"/>
    <col min="3843" max="3843" width="13.25" style="76" customWidth="1"/>
    <col min="3844" max="3845" width="9" style="76" customWidth="1"/>
    <col min="3846" max="4098" width="8.875" style="76"/>
    <col min="4099" max="4099" width="13.25" style="76" customWidth="1"/>
    <col min="4100" max="4101" width="9" style="76" customWidth="1"/>
    <col min="4102" max="4354" width="8.875" style="76"/>
    <col min="4355" max="4355" width="13.25" style="76" customWidth="1"/>
    <col min="4356" max="4357" width="9" style="76" customWidth="1"/>
    <col min="4358" max="4610" width="8.875" style="76"/>
    <col min="4611" max="4611" width="13.25" style="76" customWidth="1"/>
    <col min="4612" max="4613" width="9" style="76" customWidth="1"/>
    <col min="4614" max="4866" width="8.875" style="76"/>
    <col min="4867" max="4867" width="13.25" style="76" customWidth="1"/>
    <col min="4868" max="4869" width="9" style="76" customWidth="1"/>
    <col min="4870" max="5122" width="8.875" style="76"/>
    <col min="5123" max="5123" width="13.25" style="76" customWidth="1"/>
    <col min="5124" max="5125" width="9" style="76" customWidth="1"/>
    <col min="5126" max="5378" width="8.875" style="76"/>
    <col min="5379" max="5379" width="13.25" style="76" customWidth="1"/>
    <col min="5380" max="5381" width="9" style="76" customWidth="1"/>
    <col min="5382" max="5634" width="8.875" style="76"/>
    <col min="5635" max="5635" width="13.25" style="76" customWidth="1"/>
    <col min="5636" max="5637" width="9" style="76" customWidth="1"/>
    <col min="5638" max="5890" width="8.875" style="76"/>
    <col min="5891" max="5891" width="13.25" style="76" customWidth="1"/>
    <col min="5892" max="5893" width="9" style="76" customWidth="1"/>
    <col min="5894" max="6146" width="8.875" style="76"/>
    <col min="6147" max="6147" width="13.25" style="76" customWidth="1"/>
    <col min="6148" max="6149" width="9" style="76" customWidth="1"/>
    <col min="6150" max="6402" width="8.875" style="76"/>
    <col min="6403" max="6403" width="13.25" style="76" customWidth="1"/>
    <col min="6404" max="6405" width="9" style="76" customWidth="1"/>
    <col min="6406" max="6658" width="8.875" style="76"/>
    <col min="6659" max="6659" width="13.25" style="76" customWidth="1"/>
    <col min="6660" max="6661" width="9" style="76" customWidth="1"/>
    <col min="6662" max="6914" width="8.875" style="76"/>
    <col min="6915" max="6915" width="13.25" style="76" customWidth="1"/>
    <col min="6916" max="6917" width="9" style="76" customWidth="1"/>
    <col min="6918" max="7170" width="8.875" style="76"/>
    <col min="7171" max="7171" width="13.25" style="76" customWidth="1"/>
    <col min="7172" max="7173" width="9" style="76" customWidth="1"/>
    <col min="7174" max="7426" width="8.875" style="76"/>
    <col min="7427" max="7427" width="13.25" style="76" customWidth="1"/>
    <col min="7428" max="7429" width="9" style="76" customWidth="1"/>
    <col min="7430" max="7682" width="8.875" style="76"/>
    <col min="7683" max="7683" width="13.25" style="76" customWidth="1"/>
    <col min="7684" max="7685" width="9" style="76" customWidth="1"/>
    <col min="7686" max="7938" width="8.875" style="76"/>
    <col min="7939" max="7939" width="13.25" style="76" customWidth="1"/>
    <col min="7940" max="7941" width="9" style="76" customWidth="1"/>
    <col min="7942" max="8194" width="8.875" style="76"/>
    <col min="8195" max="8195" width="13.25" style="76" customWidth="1"/>
    <col min="8196" max="8197" width="9" style="76" customWidth="1"/>
    <col min="8198" max="8450" width="8.875" style="76"/>
    <col min="8451" max="8451" width="13.25" style="76" customWidth="1"/>
    <col min="8452" max="8453" width="9" style="76" customWidth="1"/>
    <col min="8454" max="8706" width="8.875" style="76"/>
    <col min="8707" max="8707" width="13.25" style="76" customWidth="1"/>
    <col min="8708" max="8709" width="9" style="76" customWidth="1"/>
    <col min="8710" max="8962" width="8.875" style="76"/>
    <col min="8963" max="8963" width="13.25" style="76" customWidth="1"/>
    <col min="8964" max="8965" width="9" style="76" customWidth="1"/>
    <col min="8966" max="9218" width="8.875" style="76"/>
    <col min="9219" max="9219" width="13.25" style="76" customWidth="1"/>
    <col min="9220" max="9221" width="9" style="76" customWidth="1"/>
    <col min="9222" max="9474" width="8.875" style="76"/>
    <col min="9475" max="9475" width="13.25" style="76" customWidth="1"/>
    <col min="9476" max="9477" width="9" style="76" customWidth="1"/>
    <col min="9478" max="9730" width="8.875" style="76"/>
    <col min="9731" max="9731" width="13.25" style="76" customWidth="1"/>
    <col min="9732" max="9733" width="9" style="76" customWidth="1"/>
    <col min="9734" max="9986" width="8.875" style="76"/>
    <col min="9987" max="9987" width="13.25" style="76" customWidth="1"/>
    <col min="9988" max="9989" width="9" style="76" customWidth="1"/>
    <col min="9990" max="10242" width="8.875" style="76"/>
    <col min="10243" max="10243" width="13.25" style="76" customWidth="1"/>
    <col min="10244" max="10245" width="9" style="76" customWidth="1"/>
    <col min="10246" max="10498" width="8.875" style="76"/>
    <col min="10499" max="10499" width="13.25" style="76" customWidth="1"/>
    <col min="10500" max="10501" width="9" style="76" customWidth="1"/>
    <col min="10502" max="10754" width="8.875" style="76"/>
    <col min="10755" max="10755" width="13.25" style="76" customWidth="1"/>
    <col min="10756" max="10757" width="9" style="76" customWidth="1"/>
    <col min="10758" max="11010" width="8.875" style="76"/>
    <col min="11011" max="11011" width="13.25" style="76" customWidth="1"/>
    <col min="11012" max="11013" width="9" style="76" customWidth="1"/>
    <col min="11014" max="11266" width="8.875" style="76"/>
    <col min="11267" max="11267" width="13.25" style="76" customWidth="1"/>
    <col min="11268" max="11269" width="9" style="76" customWidth="1"/>
    <col min="11270" max="11522" width="8.875" style="76"/>
    <col min="11523" max="11523" width="13.25" style="76" customWidth="1"/>
    <col min="11524" max="11525" width="9" style="76" customWidth="1"/>
    <col min="11526" max="11778" width="8.875" style="76"/>
    <col min="11779" max="11779" width="13.25" style="76" customWidth="1"/>
    <col min="11780" max="11781" width="9" style="76" customWidth="1"/>
    <col min="11782" max="12034" width="8.875" style="76"/>
    <col min="12035" max="12035" width="13.25" style="76" customWidth="1"/>
    <col min="12036" max="12037" width="9" style="76" customWidth="1"/>
    <col min="12038" max="12290" width="8.875" style="76"/>
    <col min="12291" max="12291" width="13.25" style="76" customWidth="1"/>
    <col min="12292" max="12293" width="9" style="76" customWidth="1"/>
    <col min="12294" max="12546" width="8.875" style="76"/>
    <col min="12547" max="12547" width="13.25" style="76" customWidth="1"/>
    <col min="12548" max="12549" width="9" style="76" customWidth="1"/>
    <col min="12550" max="12802" width="8.875" style="76"/>
    <col min="12803" max="12803" width="13.25" style="76" customWidth="1"/>
    <col min="12804" max="12805" width="9" style="76" customWidth="1"/>
    <col min="12806" max="13058" width="8.875" style="76"/>
    <col min="13059" max="13059" width="13.25" style="76" customWidth="1"/>
    <col min="13060" max="13061" width="9" style="76" customWidth="1"/>
    <col min="13062" max="13314" width="8.875" style="76"/>
    <col min="13315" max="13315" width="13.25" style="76" customWidth="1"/>
    <col min="13316" max="13317" width="9" style="76" customWidth="1"/>
    <col min="13318" max="13570" width="8.875" style="76"/>
    <col min="13571" max="13571" width="13.25" style="76" customWidth="1"/>
    <col min="13572" max="13573" width="9" style="76" customWidth="1"/>
    <col min="13574" max="13826" width="8.875" style="76"/>
    <col min="13827" max="13827" width="13.25" style="76" customWidth="1"/>
    <col min="13828" max="13829" width="9" style="76" customWidth="1"/>
    <col min="13830" max="14082" width="8.875" style="76"/>
    <col min="14083" max="14083" width="13.25" style="76" customWidth="1"/>
    <col min="14084" max="14085" width="9" style="76" customWidth="1"/>
    <col min="14086" max="14338" width="8.875" style="76"/>
    <col min="14339" max="14339" width="13.25" style="76" customWidth="1"/>
    <col min="14340" max="14341" width="9" style="76" customWidth="1"/>
    <col min="14342" max="14594" width="8.875" style="76"/>
    <col min="14595" max="14595" width="13.25" style="76" customWidth="1"/>
    <col min="14596" max="14597" width="9" style="76" customWidth="1"/>
    <col min="14598" max="14850" width="8.875" style="76"/>
    <col min="14851" max="14851" width="13.25" style="76" customWidth="1"/>
    <col min="14852" max="14853" width="9" style="76" customWidth="1"/>
    <col min="14854" max="15106" width="8.875" style="76"/>
    <col min="15107" max="15107" width="13.25" style="76" customWidth="1"/>
    <col min="15108" max="15109" width="9" style="76" customWidth="1"/>
    <col min="15110" max="15362" width="8.875" style="76"/>
    <col min="15363" max="15363" width="13.25" style="76" customWidth="1"/>
    <col min="15364" max="15365" width="9" style="76" customWidth="1"/>
    <col min="15366" max="15618" width="8.875" style="76"/>
    <col min="15619" max="15619" width="13.25" style="76" customWidth="1"/>
    <col min="15620" max="15621" width="9" style="76" customWidth="1"/>
    <col min="15622" max="15874" width="8.875" style="76"/>
    <col min="15875" max="15875" width="13.25" style="76" customWidth="1"/>
    <col min="15876" max="15877" width="9" style="76" customWidth="1"/>
    <col min="15878" max="16130" width="8.875" style="76"/>
    <col min="16131" max="16131" width="13.25" style="76" customWidth="1"/>
    <col min="16132" max="16133" width="9" style="76" customWidth="1"/>
    <col min="16134" max="16384" width="8.875" style="76"/>
  </cols>
  <sheetData>
    <row r="1" spans="1:5" x14ac:dyDescent="0.15">
      <c r="A1" s="149" t="s">
        <v>625</v>
      </c>
      <c r="B1" s="149" t="s">
        <v>642</v>
      </c>
      <c r="C1" s="150" t="s">
        <v>643</v>
      </c>
      <c r="D1" s="151" t="s">
        <v>644</v>
      </c>
      <c r="E1" s="151" t="s">
        <v>645</v>
      </c>
    </row>
    <row r="2" spans="1:5" x14ac:dyDescent="0.15">
      <c r="A2" s="152" t="s">
        <v>651</v>
      </c>
      <c r="B2" s="152" t="s">
        <v>631</v>
      </c>
      <c r="C2" s="153" t="s">
        <v>646</v>
      </c>
      <c r="D2" s="153" t="s">
        <v>647</v>
      </c>
      <c r="E2" s="153" t="s">
        <v>648</v>
      </c>
    </row>
    <row r="3" spans="1:5" x14ac:dyDescent="0.15">
      <c r="A3" s="152" t="s">
        <v>635</v>
      </c>
      <c r="B3" s="152" t="s">
        <v>635</v>
      </c>
      <c r="C3" s="153" t="s">
        <v>652</v>
      </c>
      <c r="D3" s="153" t="s">
        <v>649</v>
      </c>
      <c r="E3" s="153" t="s">
        <v>649</v>
      </c>
    </row>
    <row r="4" spans="1:5" x14ac:dyDescent="0.15">
      <c r="A4" s="152" t="s">
        <v>638</v>
      </c>
      <c r="B4" s="152" t="s">
        <v>638</v>
      </c>
      <c r="C4" s="153" t="s">
        <v>653</v>
      </c>
      <c r="D4" s="153" t="s">
        <v>650</v>
      </c>
      <c r="E4" s="153" t="s">
        <v>650</v>
      </c>
    </row>
    <row r="5" spans="1:5" x14ac:dyDescent="0.15">
      <c r="A5" s="154">
        <v>1</v>
      </c>
      <c r="B5" s="154">
        <v>1</v>
      </c>
      <c r="C5" s="155">
        <v>0</v>
      </c>
      <c r="D5" s="155">
        <f>'table (no research)'!T3/13*6</f>
        <v>36000</v>
      </c>
      <c r="E5" s="155">
        <f>'table (no research)'!AA3/13*6</f>
        <v>72000</v>
      </c>
    </row>
    <row r="6" spans="1:5" x14ac:dyDescent="0.15">
      <c r="A6" s="154">
        <v>2</v>
      </c>
      <c r="B6" s="154">
        <v>2</v>
      </c>
      <c r="C6" s="155">
        <v>0</v>
      </c>
      <c r="D6" s="155">
        <f>'table (no research)'!T4/13*6</f>
        <v>73440</v>
      </c>
      <c r="E6" s="155">
        <f>'table (no research)'!AA4/13*6</f>
        <v>85650</v>
      </c>
    </row>
    <row r="7" spans="1:5" x14ac:dyDescent="0.15">
      <c r="A7" s="154">
        <v>3</v>
      </c>
      <c r="B7" s="154">
        <v>3</v>
      </c>
      <c r="C7" s="155">
        <v>0</v>
      </c>
      <c r="D7" s="155">
        <f>'table (no research)'!T5/13*6</f>
        <v>112320</v>
      </c>
      <c r="E7" s="155">
        <f>'table (no research)'!AA5/13*6</f>
        <v>99300</v>
      </c>
    </row>
    <row r="8" spans="1:5" x14ac:dyDescent="0.15">
      <c r="A8" s="154">
        <v>4</v>
      </c>
      <c r="B8" s="154">
        <v>4</v>
      </c>
      <c r="C8" s="155">
        <v>0</v>
      </c>
      <c r="D8" s="155">
        <f>'table (no research)'!T6/13*6</f>
        <v>152640</v>
      </c>
      <c r="E8" s="155">
        <f>'table (no research)'!AA6/13*6</f>
        <v>112950</v>
      </c>
    </row>
    <row r="9" spans="1:5" x14ac:dyDescent="0.15">
      <c r="A9" s="154">
        <v>5</v>
      </c>
      <c r="B9" s="154">
        <v>5</v>
      </c>
      <c r="C9" s="155">
        <v>0</v>
      </c>
      <c r="D9" s="155">
        <f>'table (no research)'!T7/13*6</f>
        <v>194400</v>
      </c>
      <c r="E9" s="155">
        <f>'table (no research)'!AA7/13*6</f>
        <v>126600</v>
      </c>
    </row>
    <row r="10" spans="1:5" x14ac:dyDescent="0.15">
      <c r="A10" s="154">
        <v>6</v>
      </c>
      <c r="B10" s="154">
        <v>6</v>
      </c>
      <c r="C10" s="155">
        <v>0</v>
      </c>
      <c r="D10" s="155">
        <f>'table (no research)'!T8/13*6</f>
        <v>237600</v>
      </c>
      <c r="E10" s="155">
        <f>'table (no research)'!AA8/13*6</f>
        <v>140250</v>
      </c>
    </row>
    <row r="11" spans="1:5" x14ac:dyDescent="0.15">
      <c r="A11" s="154">
        <v>7</v>
      </c>
      <c r="B11" s="154">
        <v>7</v>
      </c>
      <c r="C11" s="155">
        <v>0</v>
      </c>
      <c r="D11" s="155">
        <f>'table (no research)'!T9/13*6</f>
        <v>282240</v>
      </c>
      <c r="E11" s="155">
        <f>'table (no research)'!AA9/13*6</f>
        <v>153900</v>
      </c>
    </row>
    <row r="12" spans="1:5" x14ac:dyDescent="0.15">
      <c r="A12" s="154">
        <v>8</v>
      </c>
      <c r="B12" s="154">
        <v>8</v>
      </c>
      <c r="C12" s="155">
        <v>0</v>
      </c>
      <c r="D12" s="155">
        <f>'table (no research)'!T10/13*6</f>
        <v>328320</v>
      </c>
      <c r="E12" s="155">
        <f>'table (no research)'!AA10/13*6</f>
        <v>167550</v>
      </c>
    </row>
    <row r="13" spans="1:5" x14ac:dyDescent="0.15">
      <c r="A13" s="154">
        <v>9</v>
      </c>
      <c r="B13" s="154">
        <v>9</v>
      </c>
      <c r="C13" s="155">
        <v>0</v>
      </c>
      <c r="D13" s="155">
        <f>'table (no research)'!T11/13*6</f>
        <v>375840</v>
      </c>
      <c r="E13" s="155">
        <f>'table (no research)'!AA11/13*6</f>
        <v>181200</v>
      </c>
    </row>
    <row r="14" spans="1:5" x14ac:dyDescent="0.15">
      <c r="A14" s="154">
        <v>10</v>
      </c>
      <c r="B14" s="154">
        <v>10</v>
      </c>
      <c r="C14" s="155">
        <v>0</v>
      </c>
      <c r="D14" s="155">
        <f>'table (no research)'!T12/13*6</f>
        <v>424800</v>
      </c>
      <c r="E14" s="155">
        <f>'table (no research)'!AA12/13*6</f>
        <v>194850</v>
      </c>
    </row>
    <row r="15" spans="1:5" x14ac:dyDescent="0.15">
      <c r="A15" s="154">
        <v>11</v>
      </c>
      <c r="B15" s="154">
        <v>11</v>
      </c>
      <c r="C15" s="155">
        <v>0</v>
      </c>
      <c r="D15" s="155">
        <f>'table (no research)'!T13/13*6</f>
        <v>475200</v>
      </c>
      <c r="E15" s="155">
        <f>'table (no research)'!AA13/13*6</f>
        <v>208500</v>
      </c>
    </row>
    <row r="16" spans="1:5" x14ac:dyDescent="0.15">
      <c r="A16" s="154">
        <v>12</v>
      </c>
      <c r="B16" s="154">
        <v>12</v>
      </c>
      <c r="C16" s="155">
        <v>0</v>
      </c>
      <c r="D16" s="155">
        <f>'table (no research)'!T14/13*6</f>
        <v>527040</v>
      </c>
      <c r="E16" s="155">
        <f>'table (no research)'!AA14/13*6</f>
        <v>222150</v>
      </c>
    </row>
    <row r="17" spans="1:5" x14ac:dyDescent="0.15">
      <c r="A17" s="154">
        <v>13</v>
      </c>
      <c r="B17" s="154">
        <v>13</v>
      </c>
      <c r="C17" s="155">
        <v>0</v>
      </c>
      <c r="D17" s="155">
        <f>'table (no research)'!T15/13*6</f>
        <v>580320</v>
      </c>
      <c r="E17" s="155">
        <f>'table (no research)'!AA15/13*6</f>
        <v>235800</v>
      </c>
    </row>
    <row r="18" spans="1:5" x14ac:dyDescent="0.15">
      <c r="A18" s="154">
        <v>14</v>
      </c>
      <c r="B18" s="154">
        <v>14</v>
      </c>
      <c r="C18" s="155">
        <v>0</v>
      </c>
      <c r="D18" s="155">
        <f>'table (no research)'!T16/13*6</f>
        <v>635040</v>
      </c>
      <c r="E18" s="155">
        <f>'table (no research)'!AA16/13*6</f>
        <v>249450</v>
      </c>
    </row>
    <row r="19" spans="1:5" x14ac:dyDescent="0.15">
      <c r="A19" s="154">
        <v>15</v>
      </c>
      <c r="B19" s="154">
        <v>15</v>
      </c>
      <c r="C19" s="155">
        <v>0</v>
      </c>
      <c r="D19" s="155">
        <f>'table (no research)'!T17/13*6</f>
        <v>691200</v>
      </c>
      <c r="E19" s="155">
        <f>'table (no research)'!AA17/13*6</f>
        <v>263100</v>
      </c>
    </row>
    <row r="20" spans="1:5" x14ac:dyDescent="0.15">
      <c r="A20" s="154">
        <v>16</v>
      </c>
      <c r="B20" s="154">
        <v>16</v>
      </c>
      <c r="C20" s="155">
        <v>0</v>
      </c>
      <c r="D20" s="155">
        <f>'table (no research)'!T18/13*6</f>
        <v>748800</v>
      </c>
      <c r="E20" s="155">
        <f>'table (no research)'!AA18/13*6</f>
        <v>276750</v>
      </c>
    </row>
    <row r="21" spans="1:5" x14ac:dyDescent="0.15">
      <c r="A21" s="154">
        <v>17</v>
      </c>
      <c r="B21" s="154">
        <v>17</v>
      </c>
      <c r="C21" s="155">
        <v>0</v>
      </c>
      <c r="D21" s="155">
        <f>'table (no research)'!T19/13*6</f>
        <v>807840</v>
      </c>
      <c r="E21" s="155">
        <f>'table (no research)'!AA19/13*6</f>
        <v>290400</v>
      </c>
    </row>
    <row r="22" spans="1:5" x14ac:dyDescent="0.15">
      <c r="A22" s="154">
        <v>18</v>
      </c>
      <c r="B22" s="154">
        <v>18</v>
      </c>
      <c r="C22" s="155">
        <v>0</v>
      </c>
      <c r="D22" s="155">
        <f>'table (no research)'!T20/13*6</f>
        <v>868320</v>
      </c>
      <c r="E22" s="155">
        <f>'table (no research)'!AA20/13*6</f>
        <v>304050</v>
      </c>
    </row>
    <row r="23" spans="1:5" x14ac:dyDescent="0.15">
      <c r="A23" s="154">
        <v>19</v>
      </c>
      <c r="B23" s="154">
        <v>19</v>
      </c>
      <c r="C23" s="155">
        <v>0</v>
      </c>
      <c r="D23" s="155">
        <f>'table (no research)'!T21/13*6</f>
        <v>930240</v>
      </c>
      <c r="E23" s="155">
        <f>'table (no research)'!AA21/13*6</f>
        <v>317700</v>
      </c>
    </row>
    <row r="24" spans="1:5" x14ac:dyDescent="0.15">
      <c r="A24" s="154">
        <v>20</v>
      </c>
      <c r="B24" s="154">
        <v>20</v>
      </c>
      <c r="C24" s="155">
        <v>0</v>
      </c>
      <c r="D24" s="155">
        <f>'table (no research)'!T22/13*6</f>
        <v>993600</v>
      </c>
      <c r="E24" s="155">
        <f>'table (no research)'!AA22/13*6</f>
        <v>331350</v>
      </c>
    </row>
    <row r="25" spans="1:5" x14ac:dyDescent="0.15">
      <c r="A25" s="154">
        <v>21</v>
      </c>
      <c r="B25" s="154">
        <v>21</v>
      </c>
      <c r="C25" s="155">
        <v>0</v>
      </c>
      <c r="D25" s="155">
        <f>'table (no research)'!T23/13*6</f>
        <v>1058400</v>
      </c>
      <c r="E25" s="155">
        <f>'table (no research)'!AA23/13*6</f>
        <v>345000</v>
      </c>
    </row>
    <row r="26" spans="1:5" x14ac:dyDescent="0.15">
      <c r="A26" s="154">
        <v>22</v>
      </c>
      <c r="B26" s="154">
        <v>22</v>
      </c>
      <c r="C26" s="155">
        <v>0</v>
      </c>
      <c r="D26" s="155">
        <f>'table (no research)'!T24/13*6</f>
        <v>1124640</v>
      </c>
      <c r="E26" s="155">
        <f>'table (no research)'!AA24/13*6</f>
        <v>358650</v>
      </c>
    </row>
    <row r="27" spans="1:5" x14ac:dyDescent="0.15">
      <c r="A27" s="154">
        <v>23</v>
      </c>
      <c r="B27" s="154">
        <v>23</v>
      </c>
      <c r="C27" s="155">
        <v>0</v>
      </c>
      <c r="D27" s="155">
        <f>'table (no research)'!T25/13*6</f>
        <v>1192320</v>
      </c>
      <c r="E27" s="155">
        <f>'table (no research)'!AA25/13*6</f>
        <v>372300</v>
      </c>
    </row>
    <row r="28" spans="1:5" x14ac:dyDescent="0.15">
      <c r="A28" s="154">
        <v>24</v>
      </c>
      <c r="B28" s="154">
        <v>24</v>
      </c>
      <c r="C28" s="155">
        <v>0</v>
      </c>
      <c r="D28" s="155">
        <f>'table (no research)'!T26/13*6</f>
        <v>1261440</v>
      </c>
      <c r="E28" s="155">
        <f>'table (no research)'!AA26/13*6</f>
        <v>385950</v>
      </c>
    </row>
    <row r="29" spans="1:5" x14ac:dyDescent="0.15">
      <c r="A29" s="154">
        <v>25</v>
      </c>
      <c r="B29" s="154">
        <v>25</v>
      </c>
      <c r="C29" s="155">
        <v>0</v>
      </c>
      <c r="D29" s="155">
        <f>'table (no research)'!T27/13*6</f>
        <v>1332000</v>
      </c>
      <c r="E29" s="155">
        <f>'table (no research)'!AA27/13*6</f>
        <v>399600</v>
      </c>
    </row>
    <row r="30" spans="1:5" x14ac:dyDescent="0.15">
      <c r="A30" s="154">
        <v>26</v>
      </c>
      <c r="B30" s="154">
        <v>1</v>
      </c>
      <c r="C30" s="155">
        <v>1</v>
      </c>
      <c r="D30" s="155">
        <f>'table (no research)'!T3/13*6</f>
        <v>36000</v>
      </c>
      <c r="E30" s="155">
        <f>'table (no research)'!AA3/13*6</f>
        <v>72000</v>
      </c>
    </row>
    <row r="31" spans="1:5" x14ac:dyDescent="0.15">
      <c r="A31" s="154">
        <v>27</v>
      </c>
      <c r="B31" s="154">
        <v>2</v>
      </c>
      <c r="C31" s="155">
        <v>1</v>
      </c>
      <c r="D31" s="155">
        <f>'table (no research)'!T4/13*6</f>
        <v>73440</v>
      </c>
      <c r="E31" s="155">
        <f>'table (no research)'!AA4/13*6</f>
        <v>85650</v>
      </c>
    </row>
    <row r="32" spans="1:5" x14ac:dyDescent="0.15">
      <c r="A32" s="154">
        <v>28</v>
      </c>
      <c r="B32" s="154">
        <v>3</v>
      </c>
      <c r="C32" s="155">
        <v>1</v>
      </c>
      <c r="D32" s="155">
        <f>'table (no research)'!T5/13*6</f>
        <v>112320</v>
      </c>
      <c r="E32" s="155">
        <f>'table (no research)'!AA5/13*6</f>
        <v>99300</v>
      </c>
    </row>
    <row r="33" spans="1:5" x14ac:dyDescent="0.15">
      <c r="A33" s="154">
        <v>29</v>
      </c>
      <c r="B33" s="154">
        <v>4</v>
      </c>
      <c r="C33" s="155">
        <v>1</v>
      </c>
      <c r="D33" s="155">
        <f>'table (no research)'!T6/13*6</f>
        <v>152640</v>
      </c>
      <c r="E33" s="155">
        <f>'table (no research)'!AA6/13*6</f>
        <v>112950</v>
      </c>
    </row>
    <row r="34" spans="1:5" x14ac:dyDescent="0.15">
      <c r="A34" s="154">
        <v>30</v>
      </c>
      <c r="B34" s="154">
        <v>5</v>
      </c>
      <c r="C34" s="155">
        <v>1</v>
      </c>
      <c r="D34" s="155">
        <f>'table (no research)'!T7/13*6</f>
        <v>194400</v>
      </c>
      <c r="E34" s="155">
        <f>'table (no research)'!AA7/13*6</f>
        <v>126600</v>
      </c>
    </row>
    <row r="35" spans="1:5" x14ac:dyDescent="0.15">
      <c r="A35" s="154">
        <v>31</v>
      </c>
      <c r="B35" s="154">
        <v>6</v>
      </c>
      <c r="C35" s="155">
        <v>1</v>
      </c>
      <c r="D35" s="155">
        <f>'table (no research)'!T8/13*6</f>
        <v>237600</v>
      </c>
      <c r="E35" s="155">
        <f>'table (no research)'!AA8/13*6</f>
        <v>140250</v>
      </c>
    </row>
    <row r="36" spans="1:5" x14ac:dyDescent="0.15">
      <c r="A36" s="154">
        <v>32</v>
      </c>
      <c r="B36" s="154">
        <v>7</v>
      </c>
      <c r="C36" s="155">
        <v>1</v>
      </c>
      <c r="D36" s="155">
        <f>'table (no research)'!T9/13*6</f>
        <v>282240</v>
      </c>
      <c r="E36" s="155">
        <f>'table (no research)'!AA9/13*6</f>
        <v>153900</v>
      </c>
    </row>
    <row r="37" spans="1:5" x14ac:dyDescent="0.15">
      <c r="A37" s="154">
        <v>33</v>
      </c>
      <c r="B37" s="154">
        <v>8</v>
      </c>
      <c r="C37" s="155">
        <v>1</v>
      </c>
      <c r="D37" s="155">
        <f>'table (no research)'!T10/13*6</f>
        <v>328320</v>
      </c>
      <c r="E37" s="155">
        <f>'table (no research)'!AA10/13*6</f>
        <v>167550</v>
      </c>
    </row>
    <row r="38" spans="1:5" x14ac:dyDescent="0.15">
      <c r="A38" s="154">
        <v>34</v>
      </c>
      <c r="B38" s="154">
        <v>9</v>
      </c>
      <c r="C38" s="155">
        <v>1</v>
      </c>
      <c r="D38" s="155">
        <f>'table (no research)'!T11/13*6</f>
        <v>375840</v>
      </c>
      <c r="E38" s="155">
        <f>'table (no research)'!AA11/13*6</f>
        <v>181200</v>
      </c>
    </row>
    <row r="39" spans="1:5" x14ac:dyDescent="0.15">
      <c r="A39" s="154">
        <v>35</v>
      </c>
      <c r="B39" s="154">
        <v>10</v>
      </c>
      <c r="C39" s="155">
        <v>1</v>
      </c>
      <c r="D39" s="155">
        <f>'table (no research)'!T12/13*6</f>
        <v>424800</v>
      </c>
      <c r="E39" s="155">
        <f>'table (no research)'!AA12/13*6</f>
        <v>194850</v>
      </c>
    </row>
    <row r="40" spans="1:5" x14ac:dyDescent="0.15">
      <c r="A40" s="154">
        <v>36</v>
      </c>
      <c r="B40" s="154">
        <v>11</v>
      </c>
      <c r="C40" s="155">
        <v>1</v>
      </c>
      <c r="D40" s="155">
        <f>'table (no research)'!T13/13*6</f>
        <v>475200</v>
      </c>
      <c r="E40" s="155">
        <f>'table (no research)'!AA13/13*6</f>
        <v>208500</v>
      </c>
    </row>
    <row r="41" spans="1:5" x14ac:dyDescent="0.15">
      <c r="A41" s="154">
        <v>37</v>
      </c>
      <c r="B41" s="154">
        <v>12</v>
      </c>
      <c r="C41" s="155">
        <v>1</v>
      </c>
      <c r="D41" s="155">
        <f>'table (no research)'!T14/13*6</f>
        <v>527040</v>
      </c>
      <c r="E41" s="155">
        <f>'table (no research)'!AA14/13*6</f>
        <v>222150</v>
      </c>
    </row>
    <row r="42" spans="1:5" x14ac:dyDescent="0.15">
      <c r="A42" s="154">
        <v>38</v>
      </c>
      <c r="B42" s="154">
        <v>13</v>
      </c>
      <c r="C42" s="155">
        <v>1</v>
      </c>
      <c r="D42" s="155">
        <f>'table (no research)'!T15/13*6</f>
        <v>580320</v>
      </c>
      <c r="E42" s="155">
        <f>'table (no research)'!AA15/13*6</f>
        <v>235800</v>
      </c>
    </row>
    <row r="43" spans="1:5" x14ac:dyDescent="0.15">
      <c r="A43" s="154">
        <v>39</v>
      </c>
      <c r="B43" s="154">
        <v>14</v>
      </c>
      <c r="C43" s="155">
        <v>1</v>
      </c>
      <c r="D43" s="155">
        <f>'table (no research)'!T16/13*6</f>
        <v>635040</v>
      </c>
      <c r="E43" s="155">
        <f>'table (no research)'!AA16/13*6</f>
        <v>249450</v>
      </c>
    </row>
    <row r="44" spans="1:5" x14ac:dyDescent="0.15">
      <c r="A44" s="154">
        <v>40</v>
      </c>
      <c r="B44" s="154">
        <v>15</v>
      </c>
      <c r="C44" s="155">
        <v>1</v>
      </c>
      <c r="D44" s="155">
        <f>'table (no research)'!T17/13*6</f>
        <v>691200</v>
      </c>
      <c r="E44" s="155">
        <f>'table (no research)'!AA17/13*6</f>
        <v>263100</v>
      </c>
    </row>
    <row r="45" spans="1:5" x14ac:dyDescent="0.15">
      <c r="A45" s="154">
        <v>41</v>
      </c>
      <c r="B45" s="154">
        <v>16</v>
      </c>
      <c r="C45" s="155">
        <v>1</v>
      </c>
      <c r="D45" s="155">
        <f>'table (no research)'!T18/13*6</f>
        <v>748800</v>
      </c>
      <c r="E45" s="155">
        <f>'table (no research)'!AA18/13*6</f>
        <v>276750</v>
      </c>
    </row>
    <row r="46" spans="1:5" x14ac:dyDescent="0.15">
      <c r="A46" s="154">
        <v>42</v>
      </c>
      <c r="B46" s="154">
        <v>17</v>
      </c>
      <c r="C46" s="155">
        <v>1</v>
      </c>
      <c r="D46" s="155">
        <f>'table (no research)'!T19/13*6</f>
        <v>807840</v>
      </c>
      <c r="E46" s="155">
        <f>'table (no research)'!AA19/13*6</f>
        <v>290400</v>
      </c>
    </row>
    <row r="47" spans="1:5" x14ac:dyDescent="0.15">
      <c r="A47" s="154">
        <v>43</v>
      </c>
      <c r="B47" s="154">
        <v>18</v>
      </c>
      <c r="C47" s="155">
        <v>1</v>
      </c>
      <c r="D47" s="155">
        <f>'table (no research)'!T20/13*6</f>
        <v>868320</v>
      </c>
      <c r="E47" s="155">
        <f>'table (no research)'!AA20/13*6</f>
        <v>304050</v>
      </c>
    </row>
    <row r="48" spans="1:5" x14ac:dyDescent="0.15">
      <c r="A48" s="154">
        <v>44</v>
      </c>
      <c r="B48" s="154">
        <v>19</v>
      </c>
      <c r="C48" s="155">
        <v>1</v>
      </c>
      <c r="D48" s="155">
        <f>'table (no research)'!T21/13*6</f>
        <v>930240</v>
      </c>
      <c r="E48" s="155">
        <f>'table (no research)'!AA21/13*6</f>
        <v>317700</v>
      </c>
    </row>
    <row r="49" spans="1:5" x14ac:dyDescent="0.15">
      <c r="A49" s="154">
        <v>45</v>
      </c>
      <c r="B49" s="154">
        <v>20</v>
      </c>
      <c r="C49" s="155">
        <v>1</v>
      </c>
      <c r="D49" s="155">
        <f>'table (no research)'!T22/13*6</f>
        <v>993600</v>
      </c>
      <c r="E49" s="155">
        <f>'table (no research)'!AA22/13*6</f>
        <v>331350</v>
      </c>
    </row>
    <row r="50" spans="1:5" x14ac:dyDescent="0.15">
      <c r="A50" s="154">
        <v>46</v>
      </c>
      <c r="B50" s="154">
        <v>21</v>
      </c>
      <c r="C50" s="155">
        <v>1</v>
      </c>
      <c r="D50" s="155">
        <f>'table (no research)'!T23/13*6</f>
        <v>1058400</v>
      </c>
      <c r="E50" s="155">
        <f>'table (no research)'!AA23/13*6</f>
        <v>345000</v>
      </c>
    </row>
    <row r="51" spans="1:5" x14ac:dyDescent="0.15">
      <c r="A51" s="154">
        <v>47</v>
      </c>
      <c r="B51" s="154">
        <v>22</v>
      </c>
      <c r="C51" s="155">
        <v>1</v>
      </c>
      <c r="D51" s="155">
        <f>'table (no research)'!T24/13*6</f>
        <v>1124640</v>
      </c>
      <c r="E51" s="155">
        <f>'table (no research)'!AA24/13*6</f>
        <v>358650</v>
      </c>
    </row>
    <row r="52" spans="1:5" x14ac:dyDescent="0.15">
      <c r="A52" s="154">
        <v>48</v>
      </c>
      <c r="B52" s="154">
        <v>23</v>
      </c>
      <c r="C52" s="155">
        <v>1</v>
      </c>
      <c r="D52" s="155">
        <f>'table (no research)'!T25/13*6</f>
        <v>1192320</v>
      </c>
      <c r="E52" s="155">
        <f>'table (no research)'!AA25/13*6</f>
        <v>372300</v>
      </c>
    </row>
    <row r="53" spans="1:5" x14ac:dyDescent="0.15">
      <c r="A53" s="154">
        <v>49</v>
      </c>
      <c r="B53" s="154">
        <v>24</v>
      </c>
      <c r="C53" s="155">
        <v>1</v>
      </c>
      <c r="D53" s="155">
        <f>'table (no research)'!T26/13*6</f>
        <v>1261440</v>
      </c>
      <c r="E53" s="155">
        <f>'table (no research)'!AA26/13*6</f>
        <v>385950</v>
      </c>
    </row>
    <row r="54" spans="1:5" x14ac:dyDescent="0.15">
      <c r="A54" s="154">
        <v>50</v>
      </c>
      <c r="B54" s="154">
        <v>25</v>
      </c>
      <c r="C54" s="155">
        <v>1</v>
      </c>
      <c r="D54" s="155">
        <f>'table (no research)'!T27/13*6</f>
        <v>1332000</v>
      </c>
      <c r="E54" s="155">
        <f>'table (no research)'!AA27/13*6</f>
        <v>399600</v>
      </c>
    </row>
    <row r="55" spans="1:5" x14ac:dyDescent="0.15">
      <c r="A55" s="154">
        <v>51</v>
      </c>
      <c r="B55" s="154">
        <v>1</v>
      </c>
      <c r="C55" s="155">
        <v>2</v>
      </c>
      <c r="D55" s="155">
        <f>'table (no research)'!T3/13</f>
        <v>6000</v>
      </c>
      <c r="E55" s="155">
        <f>'table (no research)'!AA3/13</f>
        <v>12000</v>
      </c>
    </row>
    <row r="56" spans="1:5" x14ac:dyDescent="0.15">
      <c r="A56" s="154">
        <v>52</v>
      </c>
      <c r="B56" s="154">
        <v>2</v>
      </c>
      <c r="C56" s="155">
        <v>2</v>
      </c>
      <c r="D56" s="155">
        <f>'table (no research)'!T4/13</f>
        <v>12240</v>
      </c>
      <c r="E56" s="155">
        <f>'table (no research)'!AA4/13</f>
        <v>14275</v>
      </c>
    </row>
    <row r="57" spans="1:5" x14ac:dyDescent="0.15">
      <c r="A57" s="154">
        <v>53</v>
      </c>
      <c r="B57" s="154">
        <v>3</v>
      </c>
      <c r="C57" s="155">
        <v>2</v>
      </c>
      <c r="D57" s="155">
        <f>'table (no research)'!T5/13</f>
        <v>18720</v>
      </c>
      <c r="E57" s="155">
        <f>'table (no research)'!AA5/13</f>
        <v>16550</v>
      </c>
    </row>
    <row r="58" spans="1:5" x14ac:dyDescent="0.15">
      <c r="A58" s="154">
        <v>54</v>
      </c>
      <c r="B58" s="154">
        <v>4</v>
      </c>
      <c r="C58" s="155">
        <v>2</v>
      </c>
      <c r="D58" s="155">
        <f>'table (no research)'!T6/13</f>
        <v>25440</v>
      </c>
      <c r="E58" s="155">
        <f>'table (no research)'!AA6/13</f>
        <v>18825</v>
      </c>
    </row>
    <row r="59" spans="1:5" x14ac:dyDescent="0.15">
      <c r="A59" s="154">
        <v>55</v>
      </c>
      <c r="B59" s="154">
        <v>5</v>
      </c>
      <c r="C59" s="155">
        <v>2</v>
      </c>
      <c r="D59" s="155">
        <f>'table (no research)'!T7/13</f>
        <v>32400</v>
      </c>
      <c r="E59" s="155">
        <f>'table (no research)'!AA7/13</f>
        <v>21100</v>
      </c>
    </row>
    <row r="60" spans="1:5" x14ac:dyDescent="0.15">
      <c r="A60" s="154">
        <v>56</v>
      </c>
      <c r="B60" s="154">
        <v>6</v>
      </c>
      <c r="C60" s="155">
        <v>2</v>
      </c>
      <c r="D60" s="155">
        <f>'table (no research)'!T8/13</f>
        <v>39600</v>
      </c>
      <c r="E60" s="155">
        <f>'table (no research)'!AA8/13</f>
        <v>23375</v>
      </c>
    </row>
    <row r="61" spans="1:5" x14ac:dyDescent="0.15">
      <c r="A61" s="154">
        <v>57</v>
      </c>
      <c r="B61" s="154">
        <v>7</v>
      </c>
      <c r="C61" s="155">
        <v>2</v>
      </c>
      <c r="D61" s="155">
        <f>'table (no research)'!T9/13</f>
        <v>47040</v>
      </c>
      <c r="E61" s="155">
        <f>'table (no research)'!AA9/13</f>
        <v>25650</v>
      </c>
    </row>
    <row r="62" spans="1:5" x14ac:dyDescent="0.15">
      <c r="A62" s="154">
        <v>58</v>
      </c>
      <c r="B62" s="154">
        <v>8</v>
      </c>
      <c r="C62" s="155">
        <v>2</v>
      </c>
      <c r="D62" s="155">
        <f>'table (no research)'!T10/13</f>
        <v>54720</v>
      </c>
      <c r="E62" s="155">
        <f>'table (no research)'!AA10/13</f>
        <v>27925</v>
      </c>
    </row>
    <row r="63" spans="1:5" x14ac:dyDescent="0.15">
      <c r="A63" s="154">
        <v>59</v>
      </c>
      <c r="B63" s="154">
        <v>9</v>
      </c>
      <c r="C63" s="155">
        <v>2</v>
      </c>
      <c r="D63" s="155">
        <f>'table (no research)'!T11/13</f>
        <v>62640</v>
      </c>
      <c r="E63" s="155">
        <f>'table (no research)'!AA11/13</f>
        <v>30200</v>
      </c>
    </row>
    <row r="64" spans="1:5" x14ac:dyDescent="0.15">
      <c r="A64" s="154">
        <v>60</v>
      </c>
      <c r="B64" s="154">
        <v>10</v>
      </c>
      <c r="C64" s="155">
        <v>2</v>
      </c>
      <c r="D64" s="155">
        <f>'table (no research)'!T12/13</f>
        <v>70800</v>
      </c>
      <c r="E64" s="155">
        <f>'table (no research)'!AA12/13</f>
        <v>32475</v>
      </c>
    </row>
    <row r="65" spans="1:5" x14ac:dyDescent="0.15">
      <c r="A65" s="154">
        <v>61</v>
      </c>
      <c r="B65" s="154">
        <v>11</v>
      </c>
      <c r="C65" s="155">
        <v>2</v>
      </c>
      <c r="D65" s="155">
        <f>'table (no research)'!T13/13</f>
        <v>79200</v>
      </c>
      <c r="E65" s="155">
        <f>'table (no research)'!AA13/13</f>
        <v>34750</v>
      </c>
    </row>
    <row r="66" spans="1:5" x14ac:dyDescent="0.15">
      <c r="A66" s="154">
        <v>62</v>
      </c>
      <c r="B66" s="154">
        <v>12</v>
      </c>
      <c r="C66" s="155">
        <v>2</v>
      </c>
      <c r="D66" s="155">
        <f>'table (no research)'!T14/13</f>
        <v>87840</v>
      </c>
      <c r="E66" s="155">
        <f>'table (no research)'!AA14/13</f>
        <v>37025</v>
      </c>
    </row>
    <row r="67" spans="1:5" x14ac:dyDescent="0.15">
      <c r="A67" s="154">
        <v>63</v>
      </c>
      <c r="B67" s="154">
        <v>13</v>
      </c>
      <c r="C67" s="155">
        <v>2</v>
      </c>
      <c r="D67" s="155">
        <f>'table (no research)'!T15/13</f>
        <v>96720</v>
      </c>
      <c r="E67" s="155">
        <f>'table (no research)'!AA15/13</f>
        <v>39300</v>
      </c>
    </row>
    <row r="68" spans="1:5" x14ac:dyDescent="0.15">
      <c r="A68" s="154">
        <v>64</v>
      </c>
      <c r="B68" s="154">
        <v>14</v>
      </c>
      <c r="C68" s="155">
        <v>2</v>
      </c>
      <c r="D68" s="155">
        <f>'table (no research)'!T16/13</f>
        <v>105840</v>
      </c>
      <c r="E68" s="155">
        <f>'table (no research)'!AA16/13</f>
        <v>41575</v>
      </c>
    </row>
    <row r="69" spans="1:5" x14ac:dyDescent="0.15">
      <c r="A69" s="154">
        <v>65</v>
      </c>
      <c r="B69" s="154">
        <v>15</v>
      </c>
      <c r="C69" s="155">
        <v>2</v>
      </c>
      <c r="D69" s="155">
        <f>'table (no research)'!T17/13</f>
        <v>115200</v>
      </c>
      <c r="E69" s="155">
        <f>'table (no research)'!AA17/13</f>
        <v>43850</v>
      </c>
    </row>
    <row r="70" spans="1:5" x14ac:dyDescent="0.15">
      <c r="A70" s="154">
        <v>66</v>
      </c>
      <c r="B70" s="154">
        <v>16</v>
      </c>
      <c r="C70" s="155">
        <v>2</v>
      </c>
      <c r="D70" s="155">
        <f>'table (no research)'!T18/13</f>
        <v>124800</v>
      </c>
      <c r="E70" s="155">
        <f>'table (no research)'!AA18/13</f>
        <v>46125</v>
      </c>
    </row>
    <row r="71" spans="1:5" x14ac:dyDescent="0.15">
      <c r="A71" s="154">
        <v>67</v>
      </c>
      <c r="B71" s="154">
        <v>17</v>
      </c>
      <c r="C71" s="155">
        <v>2</v>
      </c>
      <c r="D71" s="155">
        <f>'table (no research)'!T19/13</f>
        <v>134640</v>
      </c>
      <c r="E71" s="155">
        <f>'table (no research)'!AA19/13</f>
        <v>48400</v>
      </c>
    </row>
    <row r="72" spans="1:5" x14ac:dyDescent="0.15">
      <c r="A72" s="154">
        <v>68</v>
      </c>
      <c r="B72" s="154">
        <v>18</v>
      </c>
      <c r="C72" s="155">
        <v>2</v>
      </c>
      <c r="D72" s="155">
        <f>'table (no research)'!T20/13</f>
        <v>144720</v>
      </c>
      <c r="E72" s="155">
        <f>'table (no research)'!AA20/13</f>
        <v>50675</v>
      </c>
    </row>
    <row r="73" spans="1:5" x14ac:dyDescent="0.15">
      <c r="A73" s="154">
        <v>69</v>
      </c>
      <c r="B73" s="154">
        <v>19</v>
      </c>
      <c r="C73" s="155">
        <v>2</v>
      </c>
      <c r="D73" s="155">
        <f>'table (no research)'!T21/13</f>
        <v>155040</v>
      </c>
      <c r="E73" s="155">
        <f>'table (no research)'!AA21/13</f>
        <v>52950</v>
      </c>
    </row>
    <row r="74" spans="1:5" x14ac:dyDescent="0.15">
      <c r="A74" s="154">
        <v>70</v>
      </c>
      <c r="B74" s="154">
        <v>20</v>
      </c>
      <c r="C74" s="155">
        <v>2</v>
      </c>
      <c r="D74" s="155">
        <f>'table (no research)'!T22/13</f>
        <v>165600</v>
      </c>
      <c r="E74" s="155">
        <f>'table (no research)'!AA22/13</f>
        <v>55225</v>
      </c>
    </row>
    <row r="75" spans="1:5" x14ac:dyDescent="0.15">
      <c r="A75" s="154">
        <v>71</v>
      </c>
      <c r="B75" s="154">
        <v>21</v>
      </c>
      <c r="C75" s="155">
        <v>2</v>
      </c>
      <c r="D75" s="155">
        <f>'table (no research)'!T23/13</f>
        <v>176400</v>
      </c>
      <c r="E75" s="155">
        <f>'table (no research)'!AA23/13</f>
        <v>57500</v>
      </c>
    </row>
    <row r="76" spans="1:5" x14ac:dyDescent="0.15">
      <c r="A76" s="154">
        <v>72</v>
      </c>
      <c r="B76" s="154">
        <v>22</v>
      </c>
      <c r="C76" s="155">
        <v>2</v>
      </c>
      <c r="D76" s="155">
        <f>'table (no research)'!T24/13</f>
        <v>187440</v>
      </c>
      <c r="E76" s="155">
        <f>'table (no research)'!AA24/13</f>
        <v>59775</v>
      </c>
    </row>
    <row r="77" spans="1:5" x14ac:dyDescent="0.15">
      <c r="A77" s="154">
        <v>73</v>
      </c>
      <c r="B77" s="154">
        <v>23</v>
      </c>
      <c r="C77" s="155">
        <v>2</v>
      </c>
      <c r="D77" s="155">
        <f>'table (no research)'!T25/13</f>
        <v>198720</v>
      </c>
      <c r="E77" s="155">
        <f>'table (no research)'!AA25/13</f>
        <v>62050</v>
      </c>
    </row>
    <row r="78" spans="1:5" x14ac:dyDescent="0.15">
      <c r="A78" s="154">
        <v>74</v>
      </c>
      <c r="B78" s="154">
        <v>24</v>
      </c>
      <c r="C78" s="155">
        <v>2</v>
      </c>
      <c r="D78" s="155">
        <f>'table (no research)'!T26/13</f>
        <v>210240</v>
      </c>
      <c r="E78" s="155">
        <f>'table (no research)'!AA26/13</f>
        <v>64325</v>
      </c>
    </row>
    <row r="79" spans="1:5" x14ac:dyDescent="0.15">
      <c r="A79" s="154">
        <v>75</v>
      </c>
      <c r="B79" s="154">
        <v>25</v>
      </c>
      <c r="C79" s="155">
        <v>2</v>
      </c>
      <c r="D79" s="155">
        <f>'table (no research)'!T27/13</f>
        <v>222000</v>
      </c>
      <c r="E79" s="155">
        <f>'table (no research)'!AA27/13</f>
        <v>66600</v>
      </c>
    </row>
    <row r="276" spans="1:3" x14ac:dyDescent="0.3">
      <c r="A276" s="156"/>
      <c r="B276" s="156"/>
      <c r="C276" s="157"/>
    </row>
    <row r="277" spans="1:3" x14ac:dyDescent="0.3">
      <c r="A277" s="156"/>
      <c r="B277" s="156"/>
      <c r="C277" s="157"/>
    </row>
    <row r="278" spans="1:3" x14ac:dyDescent="0.3">
      <c r="A278" s="156"/>
      <c r="B278" s="156"/>
      <c r="C278" s="157"/>
    </row>
    <row r="279" spans="1:3" x14ac:dyDescent="0.3">
      <c r="A279" s="156"/>
      <c r="B279" s="156"/>
      <c r="C279" s="157"/>
    </row>
    <row r="280" spans="1:3" x14ac:dyDescent="0.3">
      <c r="A280" s="156"/>
      <c r="B280" s="156"/>
      <c r="C280" s="157"/>
    </row>
    <row r="281" spans="1:3" x14ac:dyDescent="0.3">
      <c r="A281" s="156"/>
      <c r="B281" s="156"/>
      <c r="C281" s="157"/>
    </row>
    <row r="282" spans="1:3" x14ac:dyDescent="0.3">
      <c r="A282" s="156"/>
      <c r="B282" s="156"/>
      <c r="C282" s="157"/>
    </row>
    <row r="283" spans="1:3" x14ac:dyDescent="0.3">
      <c r="A283" s="156"/>
      <c r="B283" s="156"/>
      <c r="C283" s="157"/>
    </row>
    <row r="284" spans="1:3" x14ac:dyDescent="0.3">
      <c r="A284" s="156"/>
      <c r="B284" s="156"/>
      <c r="C284" s="157"/>
    </row>
    <row r="285" spans="1:3" x14ac:dyDescent="0.3">
      <c r="A285" s="156"/>
      <c r="B285" s="156"/>
      <c r="C285" s="157"/>
    </row>
    <row r="286" spans="1:3" x14ac:dyDescent="0.3">
      <c r="A286" s="156"/>
      <c r="B286" s="156"/>
      <c r="C286" s="157"/>
    </row>
    <row r="287" spans="1:3" x14ac:dyDescent="0.3">
      <c r="A287" s="156"/>
      <c r="B287" s="156"/>
      <c r="C287" s="157"/>
    </row>
    <row r="288" spans="1:3" x14ac:dyDescent="0.3">
      <c r="A288" s="156"/>
      <c r="B288" s="156"/>
      <c r="C288" s="157"/>
    </row>
    <row r="289" spans="1:3" x14ac:dyDescent="0.3">
      <c r="A289" s="156"/>
      <c r="B289" s="156"/>
      <c r="C289" s="157"/>
    </row>
    <row r="290" spans="1:3" x14ac:dyDescent="0.3">
      <c r="A290" s="156"/>
      <c r="B290" s="156"/>
      <c r="C290" s="157"/>
    </row>
    <row r="291" spans="1:3" x14ac:dyDescent="0.3">
      <c r="A291" s="156"/>
      <c r="B291" s="156"/>
      <c r="C291" s="157"/>
    </row>
    <row r="292" spans="1:3" x14ac:dyDescent="0.3">
      <c r="A292" s="156"/>
      <c r="B292" s="156"/>
      <c r="C292" s="157"/>
    </row>
    <row r="293" spans="1:3" x14ac:dyDescent="0.3">
      <c r="A293" s="156"/>
      <c r="B293" s="156"/>
      <c r="C293" s="157"/>
    </row>
    <row r="294" spans="1:3" x14ac:dyDescent="0.3">
      <c r="A294" s="156"/>
      <c r="B294" s="156"/>
      <c r="C294" s="157"/>
    </row>
    <row r="295" spans="1:3" x14ac:dyDescent="0.3">
      <c r="A295" s="156"/>
      <c r="B295" s="156"/>
      <c r="C295" s="157"/>
    </row>
    <row r="296" spans="1:3" x14ac:dyDescent="0.3">
      <c r="A296" s="156"/>
      <c r="B296" s="156"/>
      <c r="C296" s="157"/>
    </row>
    <row r="298" spans="1:3" x14ac:dyDescent="0.15">
      <c r="A298" s="158"/>
      <c r="B298" s="15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topLeftCell="B1" workbookViewId="0">
      <selection activeCell="S14" sqref="S14"/>
    </sheetView>
  </sheetViews>
  <sheetFormatPr defaultRowHeight="16.5" x14ac:dyDescent="0.15"/>
  <cols>
    <col min="1" max="1" width="9" style="76"/>
    <col min="2" max="2" width="20.5" style="76" customWidth="1"/>
    <col min="3" max="16384" width="9" style="76"/>
  </cols>
  <sheetData>
    <row r="1" spans="1:24" x14ac:dyDescent="0.15">
      <c r="A1" s="163" t="s">
        <v>662</v>
      </c>
      <c r="B1" s="164" t="s">
        <v>663</v>
      </c>
      <c r="C1" s="164" t="s">
        <v>626</v>
      </c>
      <c r="D1" s="164" t="s">
        <v>664</v>
      </c>
      <c r="E1" s="164" t="s">
        <v>665</v>
      </c>
      <c r="F1" s="164" t="s">
        <v>666</v>
      </c>
      <c r="G1" s="164" t="s">
        <v>667</v>
      </c>
      <c r="H1" s="164" t="s">
        <v>668</v>
      </c>
      <c r="I1" s="164" t="s">
        <v>668</v>
      </c>
      <c r="J1" s="164" t="s">
        <v>668</v>
      </c>
      <c r="K1" s="164" t="s">
        <v>669</v>
      </c>
      <c r="L1" s="164" t="s">
        <v>670</v>
      </c>
      <c r="M1" s="164" t="s">
        <v>671</v>
      </c>
      <c r="N1" s="164" t="s">
        <v>672</v>
      </c>
      <c r="O1" s="164" t="s">
        <v>673</v>
      </c>
      <c r="P1" s="164" t="s">
        <v>674</v>
      </c>
      <c r="Q1" s="164" t="s">
        <v>675</v>
      </c>
      <c r="R1" s="163" t="s">
        <v>6</v>
      </c>
      <c r="S1" s="163" t="s">
        <v>676</v>
      </c>
      <c r="T1" s="163" t="s">
        <v>677</v>
      </c>
      <c r="U1" s="164" t="s">
        <v>678</v>
      </c>
      <c r="V1" s="163" t="s">
        <v>679</v>
      </c>
      <c r="W1" s="163" t="s">
        <v>680</v>
      </c>
      <c r="X1" s="164" t="s">
        <v>681</v>
      </c>
    </row>
    <row r="2" spans="1:24" x14ac:dyDescent="0.15">
      <c r="A2" s="165" t="s">
        <v>682</v>
      </c>
      <c r="B2" s="165" t="s">
        <v>683</v>
      </c>
      <c r="C2" s="165" t="s">
        <v>684</v>
      </c>
      <c r="D2" s="165" t="s">
        <v>685</v>
      </c>
      <c r="E2" s="165" t="s">
        <v>686</v>
      </c>
      <c r="F2" s="165" t="s">
        <v>687</v>
      </c>
      <c r="G2" s="165" t="s">
        <v>688</v>
      </c>
      <c r="H2" s="165" t="s">
        <v>689</v>
      </c>
      <c r="I2" s="165" t="s">
        <v>690</v>
      </c>
      <c r="J2" s="165" t="s">
        <v>691</v>
      </c>
      <c r="K2" s="165" t="s">
        <v>692</v>
      </c>
      <c r="L2" s="165" t="s">
        <v>693</v>
      </c>
      <c r="M2" s="165" t="s">
        <v>694</v>
      </c>
      <c r="N2" s="165" t="s">
        <v>695</v>
      </c>
      <c r="O2" s="165" t="s">
        <v>696</v>
      </c>
      <c r="P2" s="165" t="s">
        <v>697</v>
      </c>
      <c r="Q2" s="165" t="s">
        <v>698</v>
      </c>
      <c r="R2" s="165" t="s">
        <v>699</v>
      </c>
      <c r="S2" s="165" t="s">
        <v>719</v>
      </c>
      <c r="T2" s="165" t="s">
        <v>700</v>
      </c>
      <c r="U2" s="165" t="s">
        <v>701</v>
      </c>
      <c r="V2" s="165" t="s">
        <v>702</v>
      </c>
      <c r="W2" s="165" t="s">
        <v>703</v>
      </c>
      <c r="X2" s="165" t="s">
        <v>704</v>
      </c>
    </row>
    <row r="3" spans="1:24" x14ac:dyDescent="0.15">
      <c r="A3" s="165" t="s">
        <v>635</v>
      </c>
      <c r="B3" s="165" t="s">
        <v>705</v>
      </c>
      <c r="C3" s="165" t="s">
        <v>635</v>
      </c>
      <c r="D3" s="165" t="s">
        <v>720</v>
      </c>
      <c r="E3" s="165" t="s">
        <v>705</v>
      </c>
      <c r="F3" s="165" t="s">
        <v>705</v>
      </c>
      <c r="G3" s="165" t="s">
        <v>635</v>
      </c>
      <c r="H3" s="165" t="s">
        <v>635</v>
      </c>
      <c r="I3" s="165" t="s">
        <v>635</v>
      </c>
      <c r="J3" s="165" t="s">
        <v>635</v>
      </c>
      <c r="K3" s="165" t="s">
        <v>706</v>
      </c>
      <c r="L3" s="165" t="s">
        <v>635</v>
      </c>
      <c r="M3" s="165" t="s">
        <v>635</v>
      </c>
      <c r="N3" s="165" t="s">
        <v>635</v>
      </c>
      <c r="O3" s="165" t="s">
        <v>635</v>
      </c>
      <c r="P3" s="165" t="s">
        <v>707</v>
      </c>
      <c r="Q3" s="165" t="s">
        <v>635</v>
      </c>
      <c r="R3" s="165" t="s">
        <v>720</v>
      </c>
      <c r="S3" s="165" t="s">
        <v>635</v>
      </c>
      <c r="T3" s="165" t="s">
        <v>720</v>
      </c>
      <c r="U3" s="165" t="s">
        <v>635</v>
      </c>
      <c r="V3" s="165" t="s">
        <v>708</v>
      </c>
      <c r="W3" s="165" t="s">
        <v>635</v>
      </c>
      <c r="X3" s="165" t="s">
        <v>705</v>
      </c>
    </row>
    <row r="4" spans="1:24" x14ac:dyDescent="0.15">
      <c r="A4" s="165" t="s">
        <v>638</v>
      </c>
      <c r="B4" s="165" t="s">
        <v>709</v>
      </c>
      <c r="C4" s="165" t="s">
        <v>638</v>
      </c>
      <c r="D4" s="165" t="s">
        <v>721</v>
      </c>
      <c r="E4" s="165" t="s">
        <v>709</v>
      </c>
      <c r="F4" s="165" t="s">
        <v>709</v>
      </c>
      <c r="G4" s="165" t="s">
        <v>638</v>
      </c>
      <c r="H4" s="165" t="s">
        <v>638</v>
      </c>
      <c r="I4" s="165" t="s">
        <v>638</v>
      </c>
      <c r="J4" s="165" t="s">
        <v>638</v>
      </c>
      <c r="K4" s="165" t="s">
        <v>638</v>
      </c>
      <c r="L4" s="165" t="s">
        <v>638</v>
      </c>
      <c r="M4" s="165" t="s">
        <v>638</v>
      </c>
      <c r="N4" s="165" t="s">
        <v>638</v>
      </c>
      <c r="O4" s="165" t="s">
        <v>638</v>
      </c>
      <c r="P4" s="165" t="s">
        <v>638</v>
      </c>
      <c r="Q4" s="165" t="s">
        <v>638</v>
      </c>
      <c r="R4" s="165" t="s">
        <v>721</v>
      </c>
      <c r="S4" s="165" t="s">
        <v>638</v>
      </c>
      <c r="T4" s="165" t="s">
        <v>721</v>
      </c>
      <c r="U4" s="165" t="s">
        <v>709</v>
      </c>
      <c r="V4" s="165" t="s">
        <v>638</v>
      </c>
      <c r="W4" s="165" t="s">
        <v>638</v>
      </c>
      <c r="X4" s="165" t="s">
        <v>709</v>
      </c>
    </row>
    <row r="5" spans="1:24" x14ac:dyDescent="0.15">
      <c r="A5" s="166" t="s">
        <v>655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</row>
    <row r="6" spans="1:24" x14ac:dyDescent="0.15">
      <c r="A6" s="166">
        <v>12</v>
      </c>
      <c r="B6" s="166" t="s">
        <v>656</v>
      </c>
      <c r="C6" s="166">
        <v>1</v>
      </c>
      <c r="D6" s="166">
        <v>2</v>
      </c>
      <c r="E6" s="166" t="s">
        <v>657</v>
      </c>
      <c r="F6" s="166"/>
      <c r="G6" s="166">
        <f>'table (no research)'!P3</f>
        <v>780</v>
      </c>
      <c r="H6" s="168">
        <f>'resource needed- 3 types'!C3</f>
        <v>1000</v>
      </c>
      <c r="I6" s="168">
        <f>'resource needed- 3 types'!E3</f>
        <v>0</v>
      </c>
      <c r="J6" s="168">
        <f>'resource needed- 3 types'!D3</f>
        <v>0</v>
      </c>
      <c r="K6" s="166"/>
      <c r="L6" s="166"/>
      <c r="M6" s="166"/>
      <c r="N6" s="166"/>
      <c r="O6" s="167"/>
      <c r="P6" s="166"/>
      <c r="Q6" s="167"/>
      <c r="R6" s="166"/>
      <c r="S6" s="166"/>
      <c r="T6" s="167"/>
      <c r="U6" s="166"/>
      <c r="V6" s="167"/>
      <c r="W6" s="167"/>
      <c r="X6" s="169"/>
    </row>
    <row r="7" spans="1:24" x14ac:dyDescent="0.15">
      <c r="A7" s="166">
        <v>13</v>
      </c>
      <c r="B7" s="166" t="s">
        <v>656</v>
      </c>
      <c r="C7" s="166">
        <v>2</v>
      </c>
      <c r="D7" s="166">
        <v>2</v>
      </c>
      <c r="E7" s="166" t="s">
        <v>657</v>
      </c>
      <c r="F7" s="166"/>
      <c r="G7" s="166">
        <f>'table (no research)'!P4</f>
        <v>1040</v>
      </c>
      <c r="H7" s="168">
        <f>'resource needed- 3 types'!C4</f>
        <v>1300</v>
      </c>
      <c r="I7" s="168">
        <f>'resource needed- 3 types'!E4</f>
        <v>26.666666666666664</v>
      </c>
      <c r="J7" s="168">
        <f>'resource needed- 3 types'!D4</f>
        <v>6.6666666666666661</v>
      </c>
      <c r="K7" s="166"/>
      <c r="L7" s="166"/>
      <c r="M7" s="166"/>
      <c r="N7" s="166"/>
      <c r="O7" s="167"/>
      <c r="P7" s="166"/>
      <c r="Q7" s="167"/>
      <c r="R7" s="166"/>
      <c r="S7" s="166"/>
      <c r="T7" s="167"/>
      <c r="U7" s="166"/>
      <c r="V7" s="167"/>
      <c r="W7" s="167"/>
      <c r="X7" s="169"/>
    </row>
    <row r="8" spans="1:24" x14ac:dyDescent="0.15">
      <c r="A8" s="166">
        <v>14</v>
      </c>
      <c r="B8" s="166" t="s">
        <v>656</v>
      </c>
      <c r="C8" s="166">
        <v>3</v>
      </c>
      <c r="D8" s="166">
        <v>2</v>
      </c>
      <c r="E8" s="166" t="s">
        <v>657</v>
      </c>
      <c r="F8" s="166"/>
      <c r="G8" s="166">
        <f>'table (no research)'!P5</f>
        <v>1560</v>
      </c>
      <c r="H8" s="168">
        <f>'resource needed- 3 types'!C5</f>
        <v>1900</v>
      </c>
      <c r="I8" s="168">
        <f>'resource needed- 3 types'!E5</f>
        <v>80</v>
      </c>
      <c r="J8" s="168">
        <f>'resource needed- 3 types'!D5</f>
        <v>20</v>
      </c>
      <c r="K8" s="166"/>
      <c r="L8" s="166"/>
      <c r="M8" s="166"/>
      <c r="N8" s="166"/>
      <c r="O8" s="167"/>
      <c r="P8" s="166"/>
      <c r="Q8" s="167"/>
      <c r="R8" s="166"/>
      <c r="S8" s="166"/>
      <c r="T8" s="167"/>
      <c r="U8" s="166"/>
      <c r="V8" s="167"/>
      <c r="W8" s="167"/>
      <c r="X8" s="169"/>
    </row>
    <row r="9" spans="1:24" x14ac:dyDescent="0.15">
      <c r="A9" s="166">
        <v>15</v>
      </c>
      <c r="B9" s="166" t="s">
        <v>656</v>
      </c>
      <c r="C9" s="166">
        <v>4</v>
      </c>
      <c r="D9" s="166">
        <v>2</v>
      </c>
      <c r="E9" s="166" t="s">
        <v>657</v>
      </c>
      <c r="F9" s="166"/>
      <c r="G9" s="166">
        <f>'table (no research)'!P6</f>
        <v>2080</v>
      </c>
      <c r="H9" s="168">
        <f>'resource needed- 3 types'!C6</f>
        <v>2466.6666666666665</v>
      </c>
      <c r="I9" s="168">
        <f>'resource needed- 3 types'!E6</f>
        <v>159.99999999999997</v>
      </c>
      <c r="J9" s="168">
        <f>'resource needed- 3 types'!D6</f>
        <v>39.999999999999993</v>
      </c>
      <c r="K9" s="166"/>
      <c r="L9" s="166"/>
      <c r="M9" s="166"/>
      <c r="N9" s="166"/>
      <c r="O9" s="167"/>
      <c r="P9" s="166"/>
      <c r="Q9" s="167"/>
      <c r="R9" s="166"/>
      <c r="S9" s="166"/>
      <c r="T9" s="167"/>
      <c r="U9" s="166"/>
      <c r="V9" s="167"/>
      <c r="W9" s="167"/>
      <c r="X9" s="169"/>
    </row>
    <row r="10" spans="1:24" x14ac:dyDescent="0.15">
      <c r="A10" s="166">
        <v>16</v>
      </c>
      <c r="B10" s="166" t="s">
        <v>656</v>
      </c>
      <c r="C10" s="166">
        <v>5</v>
      </c>
      <c r="D10" s="166">
        <v>2</v>
      </c>
      <c r="E10" s="166" t="s">
        <v>657</v>
      </c>
      <c r="F10" s="166"/>
      <c r="G10" s="166">
        <f>'table (no research)'!P7</f>
        <v>3120</v>
      </c>
      <c r="H10" s="168">
        <f>'resource needed- 3 types'!C7</f>
        <v>3600</v>
      </c>
      <c r="I10" s="168">
        <f>'resource needed- 3 types'!E7</f>
        <v>320</v>
      </c>
      <c r="J10" s="168">
        <f>'resource needed- 3 types'!D7</f>
        <v>80</v>
      </c>
      <c r="K10" s="166"/>
      <c r="L10" s="166"/>
      <c r="M10" s="166"/>
      <c r="N10" s="166"/>
      <c r="O10" s="167"/>
      <c r="P10" s="166"/>
      <c r="Q10" s="167"/>
      <c r="R10" s="166"/>
      <c r="S10" s="166"/>
      <c r="T10" s="167"/>
      <c r="U10" s="166"/>
      <c r="V10" s="167"/>
      <c r="W10" s="167"/>
      <c r="X10" s="169"/>
    </row>
    <row r="11" spans="1:24" x14ac:dyDescent="0.15">
      <c r="A11" s="166">
        <v>17</v>
      </c>
      <c r="B11" s="166" t="s">
        <v>656</v>
      </c>
      <c r="C11" s="166">
        <v>6</v>
      </c>
      <c r="D11" s="166">
        <v>2</v>
      </c>
      <c r="E11" s="166" t="s">
        <v>657</v>
      </c>
      <c r="F11" s="166"/>
      <c r="G11" s="166">
        <f>'table (no research)'!P8</f>
        <v>3900</v>
      </c>
      <c r="H11" s="168">
        <f>'resource needed- 3 types'!C8</f>
        <v>4375</v>
      </c>
      <c r="I11" s="168">
        <f>'resource needed- 3 types'!E8</f>
        <v>500</v>
      </c>
      <c r="J11" s="168">
        <f>'resource needed- 3 types'!D8</f>
        <v>125</v>
      </c>
      <c r="K11" s="166"/>
      <c r="L11" s="166"/>
      <c r="M11" s="166"/>
      <c r="N11" s="166"/>
      <c r="O11" s="167"/>
      <c r="P11" s="166"/>
      <c r="Q11" s="167"/>
      <c r="R11" s="166"/>
      <c r="S11" s="166"/>
      <c r="T11" s="167"/>
      <c r="U11" s="166"/>
      <c r="V11" s="167"/>
      <c r="W11" s="167"/>
      <c r="X11" s="169"/>
    </row>
    <row r="12" spans="1:24" x14ac:dyDescent="0.15">
      <c r="A12" s="166">
        <v>18</v>
      </c>
      <c r="B12" s="166" t="s">
        <v>656</v>
      </c>
      <c r="C12" s="166">
        <v>7</v>
      </c>
      <c r="D12" s="166">
        <v>2</v>
      </c>
      <c r="E12" s="166" t="s">
        <v>657</v>
      </c>
      <c r="F12" s="166"/>
      <c r="G12" s="166">
        <f>'table (no research)'!P9</f>
        <v>5850</v>
      </c>
      <c r="H12" s="168">
        <f>'resource needed- 3 types'!C9</f>
        <v>6375</v>
      </c>
      <c r="I12" s="168">
        <f>'resource needed- 3 types'!E9</f>
        <v>900</v>
      </c>
      <c r="J12" s="168">
        <f>'resource needed- 3 types'!D9</f>
        <v>225</v>
      </c>
      <c r="K12" s="166"/>
      <c r="L12" s="166"/>
      <c r="M12" s="166"/>
      <c r="N12" s="166"/>
      <c r="O12" s="167"/>
      <c r="P12" s="166"/>
      <c r="Q12" s="167"/>
      <c r="R12" s="166"/>
      <c r="S12" s="166"/>
      <c r="T12" s="167"/>
      <c r="U12" s="166"/>
      <c r="V12" s="167"/>
      <c r="W12" s="167"/>
      <c r="X12" s="169"/>
    </row>
    <row r="13" spans="1:24" x14ac:dyDescent="0.15">
      <c r="A13" s="166">
        <v>19</v>
      </c>
      <c r="B13" s="166" t="s">
        <v>656</v>
      </c>
      <c r="C13" s="166">
        <v>8</v>
      </c>
      <c r="D13" s="166">
        <v>2</v>
      </c>
      <c r="E13" s="166" t="s">
        <v>657</v>
      </c>
      <c r="F13" s="166"/>
      <c r="G13" s="166">
        <f>'table (no research)'!P10</f>
        <v>8060</v>
      </c>
      <c r="H13" s="168">
        <f>'resource needed- 3 types'!C10</f>
        <v>8525</v>
      </c>
      <c r="I13" s="168">
        <f>'resource needed- 3 types'!E10</f>
        <v>1446.666666666667</v>
      </c>
      <c r="J13" s="168">
        <f>'resource needed- 3 types'!D10</f>
        <v>361.66666666666674</v>
      </c>
      <c r="K13" s="166"/>
      <c r="L13" s="166"/>
      <c r="M13" s="166"/>
      <c r="N13" s="166"/>
      <c r="O13" s="167"/>
      <c r="P13" s="166"/>
      <c r="Q13" s="167"/>
      <c r="R13" s="166"/>
      <c r="S13" s="166"/>
      <c r="T13" s="167"/>
      <c r="U13" s="166"/>
      <c r="V13" s="167"/>
      <c r="W13" s="167"/>
      <c r="X13" s="169"/>
    </row>
    <row r="14" spans="1:24" x14ac:dyDescent="0.15">
      <c r="A14" s="166">
        <v>20</v>
      </c>
      <c r="B14" s="166" t="s">
        <v>656</v>
      </c>
      <c r="C14" s="166">
        <v>9</v>
      </c>
      <c r="D14" s="166">
        <v>2</v>
      </c>
      <c r="E14" s="166" t="s">
        <v>657</v>
      </c>
      <c r="F14" s="166"/>
      <c r="G14" s="166">
        <f>'table (no research)'!P11</f>
        <v>11180</v>
      </c>
      <c r="H14" s="168">
        <f>'resource needed- 3 types'!C11</f>
        <v>11466.666666666666</v>
      </c>
      <c r="I14" s="168">
        <f>'resource needed- 3 types'!E11</f>
        <v>2293.3333333333335</v>
      </c>
      <c r="J14" s="168">
        <f>'resource needed- 3 types'!D11</f>
        <v>573.33333333333337</v>
      </c>
      <c r="K14" s="166"/>
      <c r="L14" s="166"/>
      <c r="M14" s="166"/>
      <c r="N14" s="166"/>
      <c r="O14" s="167"/>
      <c r="P14" s="166"/>
      <c r="Q14" s="167"/>
      <c r="R14" s="166"/>
      <c r="S14" s="166"/>
      <c r="T14" s="167"/>
      <c r="U14" s="166"/>
      <c r="V14" s="167"/>
      <c r="W14" s="167"/>
      <c r="X14" s="169"/>
    </row>
    <row r="15" spans="1:24" x14ac:dyDescent="0.15">
      <c r="A15" s="166">
        <v>16</v>
      </c>
      <c r="B15" s="166" t="s">
        <v>656</v>
      </c>
      <c r="C15" s="166">
        <v>10</v>
      </c>
      <c r="D15" s="166">
        <v>2</v>
      </c>
      <c r="E15" s="166" t="s">
        <v>657</v>
      </c>
      <c r="F15" s="166"/>
      <c r="G15" s="166">
        <f>'table (no research)'!P12</f>
        <v>15600</v>
      </c>
      <c r="H15" s="168">
        <f>'resource needed- 3 types'!C12</f>
        <v>15499.999999999998</v>
      </c>
      <c r="I15" s="168">
        <f>'resource needed- 3 types'!E12</f>
        <v>3600</v>
      </c>
      <c r="J15" s="168">
        <f>'resource needed- 3 types'!D12</f>
        <v>900</v>
      </c>
      <c r="K15" s="166"/>
      <c r="L15" s="166"/>
      <c r="M15" s="166"/>
      <c r="N15" s="166"/>
      <c r="O15" s="167"/>
      <c r="P15" s="166"/>
      <c r="Q15" s="167"/>
      <c r="R15" s="166"/>
      <c r="S15" s="166"/>
      <c r="T15" s="167"/>
      <c r="U15" s="166"/>
      <c r="V15" s="167"/>
      <c r="W15" s="167"/>
      <c r="X15" s="169"/>
    </row>
    <row r="16" spans="1:24" x14ac:dyDescent="0.15">
      <c r="A16" s="166">
        <v>17</v>
      </c>
      <c r="B16" s="166" t="s">
        <v>656</v>
      </c>
      <c r="C16" s="166">
        <v>11</v>
      </c>
      <c r="D16" s="166">
        <v>2</v>
      </c>
      <c r="E16" s="166" t="s">
        <v>657</v>
      </c>
      <c r="F16" s="166"/>
      <c r="G16" s="166">
        <f>'table (no research)'!P13</f>
        <v>21580</v>
      </c>
      <c r="H16" s="168">
        <f>'resource needed- 3 types'!C13</f>
        <v>20750</v>
      </c>
      <c r="I16" s="168">
        <f>'resource needed- 3 types'!E13</f>
        <v>5533.3333333333339</v>
      </c>
      <c r="J16" s="168">
        <f>'resource needed- 3 types'!D13</f>
        <v>1383.3333333333335</v>
      </c>
      <c r="K16" s="166"/>
      <c r="L16" s="166"/>
      <c r="M16" s="166"/>
      <c r="N16" s="166"/>
      <c r="O16" s="167"/>
      <c r="P16" s="166"/>
      <c r="Q16" s="167"/>
      <c r="R16" s="166"/>
      <c r="S16" s="166"/>
      <c r="T16" s="167"/>
      <c r="U16" s="166"/>
      <c r="V16" s="167"/>
      <c r="W16" s="167"/>
      <c r="X16" s="169"/>
    </row>
    <row r="17" spans="1:24" x14ac:dyDescent="0.15">
      <c r="A17" s="166">
        <v>18</v>
      </c>
      <c r="B17" s="166" t="s">
        <v>656</v>
      </c>
      <c r="C17" s="166">
        <v>12</v>
      </c>
      <c r="D17" s="166">
        <v>2</v>
      </c>
      <c r="E17" s="166" t="s">
        <v>657</v>
      </c>
      <c r="F17" s="166"/>
      <c r="G17" s="166">
        <f>'table (no research)'!P14</f>
        <v>29900</v>
      </c>
      <c r="H17" s="168">
        <f>'resource needed- 3 types'!C14</f>
        <v>27791.666666666668</v>
      </c>
      <c r="I17" s="168">
        <f>'resource needed- 3 types'!E14</f>
        <v>8433.3333333333339</v>
      </c>
      <c r="J17" s="168">
        <f>'resource needed- 3 types'!D14</f>
        <v>2108.3333333333335</v>
      </c>
      <c r="K17" s="166"/>
      <c r="L17" s="166"/>
      <c r="M17" s="166"/>
      <c r="N17" s="166"/>
      <c r="O17" s="167"/>
      <c r="P17" s="166"/>
      <c r="Q17" s="167"/>
      <c r="R17" s="166"/>
      <c r="S17" s="166"/>
      <c r="T17" s="167"/>
      <c r="U17" s="166"/>
      <c r="V17" s="167"/>
      <c r="W17" s="167"/>
      <c r="X17" s="169"/>
    </row>
    <row r="18" spans="1:24" x14ac:dyDescent="0.15">
      <c r="A18" s="166">
        <v>19</v>
      </c>
      <c r="B18" s="166" t="s">
        <v>656</v>
      </c>
      <c r="C18" s="166">
        <v>13</v>
      </c>
      <c r="D18" s="166">
        <v>2</v>
      </c>
      <c r="E18" s="166" t="s">
        <v>657</v>
      </c>
      <c r="F18" s="166"/>
      <c r="G18" s="166">
        <f>'table (no research)'!P15</f>
        <v>42120</v>
      </c>
      <c r="H18" s="168">
        <f>'resource needed- 3 types'!C15</f>
        <v>37800</v>
      </c>
      <c r="I18" s="168">
        <f>'resource needed- 3 types'!E15</f>
        <v>12960</v>
      </c>
      <c r="J18" s="168">
        <f>'resource needed- 3 types'!D15</f>
        <v>3240</v>
      </c>
      <c r="K18" s="166"/>
      <c r="L18" s="166"/>
      <c r="M18" s="166"/>
      <c r="N18" s="166"/>
      <c r="O18" s="167"/>
      <c r="P18" s="166"/>
      <c r="Q18" s="167"/>
      <c r="R18" s="166"/>
      <c r="S18" s="166"/>
      <c r="T18" s="167"/>
      <c r="U18" s="166"/>
      <c r="V18" s="167"/>
      <c r="W18" s="167"/>
      <c r="X18" s="169"/>
    </row>
    <row r="19" spans="1:24" x14ac:dyDescent="0.15">
      <c r="A19" s="166">
        <v>20</v>
      </c>
      <c r="B19" s="166" t="s">
        <v>656</v>
      </c>
      <c r="C19" s="166">
        <v>14</v>
      </c>
      <c r="D19" s="166">
        <v>2</v>
      </c>
      <c r="E19" s="166" t="s">
        <v>657</v>
      </c>
      <c r="F19" s="166"/>
      <c r="G19" s="166">
        <f>'table (no research)'!P16</f>
        <v>58500</v>
      </c>
      <c r="H19" s="168">
        <f>'resource needed- 3 types'!C16</f>
        <v>50625</v>
      </c>
      <c r="I19" s="168">
        <f>'resource needed- 3 types'!E16</f>
        <v>19500</v>
      </c>
      <c r="J19" s="168">
        <f>'resource needed- 3 types'!D16</f>
        <v>4875</v>
      </c>
      <c r="K19" s="166"/>
      <c r="L19" s="166"/>
      <c r="M19" s="166"/>
      <c r="N19" s="166"/>
      <c r="O19" s="167"/>
      <c r="P19" s="166"/>
      <c r="Q19" s="167"/>
      <c r="R19" s="166"/>
      <c r="S19" s="166"/>
      <c r="T19" s="167"/>
      <c r="U19" s="166"/>
      <c r="V19" s="167"/>
      <c r="W19" s="167"/>
      <c r="X19" s="169"/>
    </row>
    <row r="20" spans="1:24" x14ac:dyDescent="0.15">
      <c r="A20" s="166">
        <v>11</v>
      </c>
      <c r="B20" s="166" t="s">
        <v>656</v>
      </c>
      <c r="C20" s="166">
        <v>15</v>
      </c>
      <c r="D20" s="166">
        <v>2</v>
      </c>
      <c r="E20" s="166" t="s">
        <v>657</v>
      </c>
      <c r="F20" s="166"/>
      <c r="G20" s="166">
        <f>'table (no research)'!P17</f>
        <v>81120</v>
      </c>
      <c r="H20" s="168">
        <f>'resource needed- 3 types'!C17</f>
        <v>67599.999999999985</v>
      </c>
      <c r="I20" s="168">
        <f>'resource needed- 3 types'!E17</f>
        <v>29120.000000000004</v>
      </c>
      <c r="J20" s="168">
        <f>'resource needed- 3 types'!D17</f>
        <v>7280.0000000000009</v>
      </c>
      <c r="K20" s="167"/>
      <c r="L20" s="166"/>
      <c r="M20" s="166"/>
      <c r="N20" s="166"/>
      <c r="O20" s="167"/>
      <c r="P20" s="166"/>
      <c r="Q20" s="167"/>
      <c r="R20" s="166"/>
      <c r="S20" s="166"/>
      <c r="T20" s="167"/>
      <c r="U20" s="166"/>
      <c r="V20" s="167"/>
      <c r="W20" s="167"/>
      <c r="X20" s="169"/>
    </row>
    <row r="21" spans="1:24" x14ac:dyDescent="0.15">
      <c r="A21" s="166">
        <v>12</v>
      </c>
      <c r="B21" s="166" t="s">
        <v>656</v>
      </c>
      <c r="C21" s="166">
        <v>16</v>
      </c>
      <c r="D21" s="166">
        <v>2</v>
      </c>
      <c r="E21" s="166" t="s">
        <v>657</v>
      </c>
      <c r="F21" s="166"/>
      <c r="G21" s="166">
        <f>'table (no research)'!P18</f>
        <v>114660</v>
      </c>
      <c r="H21" s="168">
        <f>'resource needed- 3 types'!C18</f>
        <v>91875</v>
      </c>
      <c r="I21" s="168">
        <f>'resource needed- 3 types'!E18</f>
        <v>44100</v>
      </c>
      <c r="J21" s="168">
        <f>'resource needed- 3 types'!D18</f>
        <v>11025</v>
      </c>
      <c r="K21" s="166"/>
      <c r="L21" s="166"/>
      <c r="M21" s="166"/>
      <c r="N21" s="166"/>
      <c r="O21" s="167"/>
      <c r="P21" s="166"/>
      <c r="Q21" s="167"/>
      <c r="R21" s="166"/>
      <c r="S21" s="166"/>
      <c r="T21" s="167"/>
      <c r="U21" s="166"/>
      <c r="V21" s="167"/>
      <c r="W21" s="167"/>
      <c r="X21" s="169"/>
    </row>
    <row r="22" spans="1:24" x14ac:dyDescent="0.15">
      <c r="A22" s="166">
        <v>13</v>
      </c>
      <c r="B22" s="166" t="s">
        <v>656</v>
      </c>
      <c r="C22" s="166">
        <v>17</v>
      </c>
      <c r="D22" s="166">
        <v>2</v>
      </c>
      <c r="E22" s="166" t="s">
        <v>657</v>
      </c>
      <c r="F22" s="166"/>
      <c r="G22" s="166">
        <f>'table (no research)'!P19</f>
        <v>159120</v>
      </c>
      <c r="H22" s="168">
        <f>'resource needed- 3 types'!C19</f>
        <v>122400.00000000001</v>
      </c>
      <c r="I22" s="168">
        <f>'resource needed- 3 types'!E19</f>
        <v>65280</v>
      </c>
      <c r="J22" s="168">
        <f>'resource needed- 3 types'!D19</f>
        <v>16320</v>
      </c>
      <c r="K22" s="166"/>
      <c r="L22" s="166"/>
      <c r="M22" s="166"/>
      <c r="N22" s="166"/>
      <c r="O22" s="167"/>
      <c r="P22" s="166"/>
      <c r="Q22" s="167"/>
      <c r="R22" s="166"/>
      <c r="S22" s="166"/>
      <c r="T22" s="167"/>
      <c r="U22" s="166"/>
      <c r="V22" s="167"/>
      <c r="W22" s="167"/>
      <c r="X22" s="169"/>
    </row>
    <row r="23" spans="1:24" x14ac:dyDescent="0.15">
      <c r="A23" s="166">
        <v>14</v>
      </c>
      <c r="B23" s="166" t="s">
        <v>656</v>
      </c>
      <c r="C23" s="166">
        <v>18</v>
      </c>
      <c r="D23" s="166">
        <v>2</v>
      </c>
      <c r="E23" s="166" t="s">
        <v>657</v>
      </c>
      <c r="F23" s="166"/>
      <c r="G23" s="166">
        <f>'table (no research)'!P20</f>
        <v>206700</v>
      </c>
      <c r="H23" s="168">
        <f>'resource needed- 3 types'!C20</f>
        <v>152375</v>
      </c>
      <c r="I23" s="168">
        <f>'resource needed- 3 types'!E20</f>
        <v>90100</v>
      </c>
      <c r="J23" s="168">
        <f>'resource needed- 3 types'!D20</f>
        <v>22525</v>
      </c>
      <c r="K23" s="166"/>
      <c r="L23" s="166"/>
      <c r="M23" s="166"/>
      <c r="N23" s="166"/>
      <c r="O23" s="167"/>
      <c r="P23" s="166"/>
      <c r="Q23" s="167"/>
      <c r="R23" s="166"/>
      <c r="S23" s="166"/>
      <c r="T23" s="167"/>
      <c r="U23" s="166"/>
      <c r="V23" s="167"/>
      <c r="W23" s="167"/>
      <c r="X23" s="169"/>
    </row>
    <row r="24" spans="1:24" x14ac:dyDescent="0.15">
      <c r="A24" s="166">
        <v>15</v>
      </c>
      <c r="B24" s="166" t="s">
        <v>656</v>
      </c>
      <c r="C24" s="166">
        <v>19</v>
      </c>
      <c r="D24" s="166">
        <v>2</v>
      </c>
      <c r="E24" s="166" t="s">
        <v>657</v>
      </c>
      <c r="F24" s="166"/>
      <c r="G24" s="166">
        <f>'table (no research)'!P21</f>
        <v>312000</v>
      </c>
      <c r="H24" s="168">
        <f>'resource needed- 3 types'!C21</f>
        <v>220000.00000000003</v>
      </c>
      <c r="I24" s="168">
        <f>'resource needed- 3 types'!E21</f>
        <v>144000</v>
      </c>
      <c r="J24" s="168">
        <f>'resource needed- 3 types'!D21</f>
        <v>36000</v>
      </c>
      <c r="K24" s="166"/>
      <c r="L24" s="166"/>
      <c r="M24" s="166"/>
      <c r="N24" s="166"/>
      <c r="O24" s="167"/>
      <c r="P24" s="166"/>
      <c r="Q24" s="167"/>
      <c r="R24" s="166"/>
      <c r="S24" s="166"/>
      <c r="T24" s="167"/>
      <c r="U24" s="166"/>
      <c r="V24" s="167"/>
      <c r="W24" s="167"/>
      <c r="X24" s="169"/>
    </row>
    <row r="25" spans="1:24" x14ac:dyDescent="0.15">
      <c r="A25" s="166">
        <v>16</v>
      </c>
      <c r="B25" s="166" t="s">
        <v>656</v>
      </c>
      <c r="C25" s="166">
        <v>20</v>
      </c>
      <c r="D25" s="166">
        <v>2</v>
      </c>
      <c r="E25" s="166" t="s">
        <v>657</v>
      </c>
      <c r="F25" s="166"/>
      <c r="G25" s="166">
        <f>'table (no research)'!P22</f>
        <v>432900</v>
      </c>
      <c r="H25" s="168">
        <f>'resource needed- 3 types'!C22</f>
        <v>291375</v>
      </c>
      <c r="I25" s="168">
        <f>'resource needed- 3 types'!E22</f>
        <v>210900</v>
      </c>
      <c r="J25" s="168">
        <f>'resource needed- 3 types'!D22</f>
        <v>52725</v>
      </c>
      <c r="K25" s="166"/>
      <c r="L25" s="166"/>
      <c r="M25" s="166"/>
      <c r="N25" s="166"/>
      <c r="O25" s="167"/>
      <c r="P25" s="166"/>
      <c r="Q25" s="167"/>
      <c r="R25" s="166"/>
      <c r="S25" s="166"/>
      <c r="T25" s="167"/>
      <c r="U25" s="166"/>
      <c r="V25" s="167"/>
      <c r="W25" s="167"/>
      <c r="X25" s="169"/>
    </row>
    <row r="26" spans="1:24" x14ac:dyDescent="0.15">
      <c r="A26" s="166">
        <v>17</v>
      </c>
      <c r="B26" s="166" t="s">
        <v>656</v>
      </c>
      <c r="C26" s="166">
        <v>21</v>
      </c>
      <c r="D26" s="166">
        <v>2</v>
      </c>
      <c r="E26" s="166" t="s">
        <v>657</v>
      </c>
      <c r="F26" s="166"/>
      <c r="G26" s="166">
        <f>'table (no research)'!P23</f>
        <v>600600</v>
      </c>
      <c r="H26" s="168">
        <f>'resource needed- 3 types'!C23</f>
        <v>385000</v>
      </c>
      <c r="I26" s="168">
        <f>'resource needed- 3 types'!E23</f>
        <v>308000</v>
      </c>
      <c r="J26" s="168">
        <f>'resource needed- 3 types'!D23</f>
        <v>77000</v>
      </c>
      <c r="K26" s="166"/>
      <c r="L26" s="166"/>
      <c r="M26" s="166"/>
      <c r="N26" s="166"/>
      <c r="O26" s="167"/>
      <c r="P26" s="166"/>
      <c r="Q26" s="167"/>
      <c r="R26" s="166"/>
      <c r="S26" s="166"/>
      <c r="T26" s="167"/>
      <c r="U26" s="166"/>
      <c r="V26" s="167"/>
      <c r="W26" s="167"/>
      <c r="X26" s="169"/>
    </row>
    <row r="27" spans="1:24" x14ac:dyDescent="0.15">
      <c r="A27" s="166">
        <v>18</v>
      </c>
      <c r="B27" s="166" t="s">
        <v>656</v>
      </c>
      <c r="C27" s="166">
        <v>22</v>
      </c>
      <c r="D27" s="166">
        <v>2</v>
      </c>
      <c r="E27" s="166" t="s">
        <v>657</v>
      </c>
      <c r="F27" s="166"/>
      <c r="G27" s="166">
        <f>'table (no research)'!P24</f>
        <v>858000</v>
      </c>
      <c r="H27" s="168">
        <f>'resource needed- 3 types'!C24</f>
        <v>522500.00000000006</v>
      </c>
      <c r="I27" s="168">
        <f>'resource needed- 3 types'!E24</f>
        <v>462000</v>
      </c>
      <c r="J27" s="168">
        <f>'resource needed- 3 types'!D24</f>
        <v>115500</v>
      </c>
      <c r="K27" s="166"/>
      <c r="L27" s="166"/>
      <c r="M27" s="166"/>
      <c r="N27" s="166"/>
      <c r="O27" s="167"/>
      <c r="P27" s="166"/>
      <c r="Q27" s="167"/>
      <c r="R27" s="166"/>
      <c r="S27" s="166"/>
      <c r="T27" s="167"/>
      <c r="U27" s="166"/>
      <c r="V27" s="167"/>
      <c r="W27" s="167"/>
      <c r="X27" s="169"/>
    </row>
    <row r="28" spans="1:24" x14ac:dyDescent="0.15">
      <c r="A28" s="166">
        <v>19</v>
      </c>
      <c r="B28" s="166" t="s">
        <v>656</v>
      </c>
      <c r="C28" s="166">
        <v>23</v>
      </c>
      <c r="D28" s="166">
        <v>2</v>
      </c>
      <c r="E28" s="166" t="s">
        <v>657</v>
      </c>
      <c r="F28" s="166"/>
      <c r="G28" s="166">
        <f>'table (no research)'!P25</f>
        <v>1170000</v>
      </c>
      <c r="H28" s="168">
        <f>'resource needed- 3 types'!C25</f>
        <v>675000</v>
      </c>
      <c r="I28" s="168">
        <f>'resource needed- 3 types'!E25</f>
        <v>660000</v>
      </c>
      <c r="J28" s="168">
        <f>'resource needed- 3 types'!D25</f>
        <v>165000</v>
      </c>
      <c r="K28" s="166"/>
      <c r="L28" s="166"/>
      <c r="M28" s="166"/>
      <c r="N28" s="166"/>
      <c r="O28" s="167"/>
      <c r="P28" s="166"/>
      <c r="Q28" s="167"/>
      <c r="R28" s="166"/>
      <c r="S28" s="166"/>
      <c r="T28" s="167"/>
      <c r="U28" s="166"/>
      <c r="V28" s="167"/>
      <c r="W28" s="167"/>
      <c r="X28" s="169"/>
    </row>
    <row r="29" spans="1:24" x14ac:dyDescent="0.15">
      <c r="A29" s="166">
        <v>20</v>
      </c>
      <c r="B29" s="166" t="s">
        <v>656</v>
      </c>
      <c r="C29" s="166">
        <v>24</v>
      </c>
      <c r="D29" s="166">
        <v>2</v>
      </c>
      <c r="E29" s="166" t="s">
        <v>657</v>
      </c>
      <c r="F29" s="166"/>
      <c r="G29" s="166">
        <f>'table (no research)'!P26</f>
        <v>1684800</v>
      </c>
      <c r="H29" s="168">
        <f>'resource needed- 3 types'!C26</f>
        <v>918000</v>
      </c>
      <c r="I29" s="168">
        <f>'resource needed- 3 types'!E26</f>
        <v>993600</v>
      </c>
      <c r="J29" s="168">
        <f>'resource needed- 3 types'!D26</f>
        <v>248400</v>
      </c>
      <c r="K29" s="166"/>
      <c r="L29" s="166"/>
      <c r="M29" s="166"/>
      <c r="N29" s="166"/>
      <c r="O29" s="167"/>
      <c r="P29" s="166"/>
      <c r="Q29" s="167"/>
      <c r="R29" s="166"/>
      <c r="S29" s="166"/>
      <c r="T29" s="167"/>
      <c r="U29" s="166"/>
      <c r="V29" s="167"/>
      <c r="W29" s="167"/>
      <c r="X29" s="169"/>
    </row>
    <row r="30" spans="1:24" x14ac:dyDescent="0.15">
      <c r="A30" s="166">
        <v>20</v>
      </c>
      <c r="B30" s="166" t="s">
        <v>656</v>
      </c>
      <c r="C30" s="166">
        <v>25</v>
      </c>
      <c r="D30" s="166">
        <v>2</v>
      </c>
      <c r="E30" s="166" t="s">
        <v>657</v>
      </c>
      <c r="F30" s="166"/>
      <c r="G30" s="166">
        <f>'table (no research)'!P27</f>
        <v>2340000</v>
      </c>
      <c r="H30" s="168">
        <f>'resource needed- 3 types'!C27</f>
        <v>1200000</v>
      </c>
      <c r="I30" s="168">
        <f>'resource needed- 3 types'!E27</f>
        <v>1440000</v>
      </c>
      <c r="J30" s="168">
        <f>'resource needed- 3 types'!D27</f>
        <v>360000</v>
      </c>
      <c r="K30" s="166"/>
      <c r="L30" s="166"/>
      <c r="M30" s="166"/>
      <c r="N30" s="166"/>
      <c r="O30" s="167"/>
      <c r="P30" s="166"/>
      <c r="Q30" s="167"/>
      <c r="R30" s="166"/>
      <c r="S30" s="166"/>
      <c r="T30" s="167"/>
      <c r="U30" s="166"/>
      <c r="V30" s="167"/>
      <c r="W30" s="167"/>
      <c r="X30" s="169"/>
    </row>
    <row r="31" spans="1:24" x14ac:dyDescent="0.15">
      <c r="A31" s="166">
        <v>12</v>
      </c>
      <c r="B31" s="166" t="s">
        <v>658</v>
      </c>
      <c r="C31" s="166">
        <v>1</v>
      </c>
      <c r="D31" s="166">
        <v>2</v>
      </c>
      <c r="E31" s="166" t="s">
        <v>659</v>
      </c>
      <c r="F31" s="166"/>
      <c r="G31" s="166">
        <v>780</v>
      </c>
      <c r="H31" s="168">
        <f>'resource needed- 3 types'!F3</f>
        <v>1000</v>
      </c>
      <c r="I31" s="168">
        <f>'resource needed- 3 types'!H3</f>
        <v>0</v>
      </c>
      <c r="J31" s="168">
        <f>'resource needed- 3 types'!G3</f>
        <v>0</v>
      </c>
      <c r="K31" s="166"/>
      <c r="L31" s="166"/>
      <c r="M31" s="166"/>
      <c r="N31" s="166"/>
      <c r="O31" s="167"/>
      <c r="P31" s="166"/>
      <c r="Q31" s="167"/>
      <c r="R31" s="166"/>
      <c r="S31" s="166"/>
      <c r="T31" s="167"/>
      <c r="U31" s="166"/>
      <c r="V31" s="167"/>
      <c r="W31" s="167"/>
      <c r="X31" s="169"/>
    </row>
    <row r="32" spans="1:24" x14ac:dyDescent="0.15">
      <c r="A32" s="166">
        <v>13</v>
      </c>
      <c r="B32" s="166" t="s">
        <v>658</v>
      </c>
      <c r="C32" s="166">
        <v>2</v>
      </c>
      <c r="D32" s="166">
        <v>2</v>
      </c>
      <c r="E32" s="166" t="s">
        <v>659</v>
      </c>
      <c r="F32" s="166"/>
      <c r="G32" s="166">
        <v>1040</v>
      </c>
      <c r="H32" s="168">
        <f>'resource needed- 3 types'!F4</f>
        <v>1326.6666666666665</v>
      </c>
      <c r="I32" s="168">
        <f>'resource needed- 3 types'!H4</f>
        <v>0</v>
      </c>
      <c r="J32" s="168">
        <f>'resource needed- 3 types'!G4</f>
        <v>6.6666666666666661</v>
      </c>
      <c r="K32" s="166"/>
      <c r="L32" s="166"/>
      <c r="M32" s="166"/>
      <c r="N32" s="166"/>
      <c r="O32" s="167"/>
      <c r="P32" s="166"/>
      <c r="Q32" s="167"/>
      <c r="R32" s="166"/>
      <c r="S32" s="166"/>
      <c r="T32" s="167"/>
      <c r="U32" s="166"/>
      <c r="V32" s="167"/>
      <c r="W32" s="167"/>
      <c r="X32" s="169"/>
    </row>
    <row r="33" spans="1:24" x14ac:dyDescent="0.15">
      <c r="A33" s="166">
        <v>14</v>
      </c>
      <c r="B33" s="166" t="s">
        <v>658</v>
      </c>
      <c r="C33" s="166">
        <v>3</v>
      </c>
      <c r="D33" s="166">
        <v>2</v>
      </c>
      <c r="E33" s="166" t="s">
        <v>659</v>
      </c>
      <c r="F33" s="166"/>
      <c r="G33" s="166">
        <v>1560</v>
      </c>
      <c r="H33" s="168">
        <f>'resource needed- 3 types'!F5</f>
        <v>1980</v>
      </c>
      <c r="I33" s="168">
        <f>'resource needed- 3 types'!H5</f>
        <v>0</v>
      </c>
      <c r="J33" s="168">
        <f>'resource needed- 3 types'!G5</f>
        <v>20</v>
      </c>
      <c r="K33" s="166"/>
      <c r="L33" s="166"/>
      <c r="M33" s="166"/>
      <c r="N33" s="166"/>
      <c r="O33" s="167"/>
      <c r="P33" s="166"/>
      <c r="Q33" s="167"/>
      <c r="R33" s="166"/>
      <c r="S33" s="166"/>
      <c r="T33" s="167"/>
      <c r="U33" s="166"/>
      <c r="V33" s="167"/>
      <c r="W33" s="167"/>
      <c r="X33" s="169"/>
    </row>
    <row r="34" spans="1:24" x14ac:dyDescent="0.15">
      <c r="A34" s="166">
        <v>15</v>
      </c>
      <c r="B34" s="166" t="s">
        <v>658</v>
      </c>
      <c r="C34" s="166">
        <v>4</v>
      </c>
      <c r="D34" s="166">
        <v>2</v>
      </c>
      <c r="E34" s="166" t="s">
        <v>659</v>
      </c>
      <c r="F34" s="166"/>
      <c r="G34" s="166">
        <v>2080</v>
      </c>
      <c r="H34" s="168">
        <f>'resource needed- 3 types'!F6</f>
        <v>2626.6666666666665</v>
      </c>
      <c r="I34" s="168">
        <f>'resource needed- 3 types'!H6</f>
        <v>0</v>
      </c>
      <c r="J34" s="168">
        <f>'resource needed- 3 types'!G6</f>
        <v>39.999999999999993</v>
      </c>
      <c r="K34" s="166"/>
      <c r="L34" s="166"/>
      <c r="M34" s="166"/>
      <c r="N34" s="166"/>
      <c r="O34" s="167"/>
      <c r="P34" s="166"/>
      <c r="Q34" s="167"/>
      <c r="R34" s="166"/>
      <c r="S34" s="166"/>
      <c r="T34" s="167"/>
      <c r="U34" s="166"/>
      <c r="V34" s="167"/>
      <c r="W34" s="167"/>
      <c r="X34" s="169"/>
    </row>
    <row r="35" spans="1:24" x14ac:dyDescent="0.15">
      <c r="A35" s="166">
        <v>16</v>
      </c>
      <c r="B35" s="166" t="s">
        <v>658</v>
      </c>
      <c r="C35" s="166">
        <v>5</v>
      </c>
      <c r="D35" s="166">
        <v>2</v>
      </c>
      <c r="E35" s="166" t="s">
        <v>659</v>
      </c>
      <c r="F35" s="166"/>
      <c r="G35" s="166">
        <v>3120</v>
      </c>
      <c r="H35" s="168">
        <f>'resource needed- 3 types'!F7</f>
        <v>3920</v>
      </c>
      <c r="I35" s="168">
        <f>'resource needed- 3 types'!H7</f>
        <v>0</v>
      </c>
      <c r="J35" s="168">
        <f>'resource needed- 3 types'!G7</f>
        <v>80</v>
      </c>
      <c r="K35" s="166"/>
      <c r="L35" s="166"/>
      <c r="M35" s="166"/>
      <c r="N35" s="166"/>
      <c r="O35" s="167"/>
      <c r="P35" s="166"/>
      <c r="Q35" s="167"/>
      <c r="R35" s="166"/>
      <c r="S35" s="166"/>
      <c r="T35" s="167"/>
      <c r="U35" s="166"/>
      <c r="V35" s="167"/>
      <c r="W35" s="167"/>
      <c r="X35" s="169"/>
    </row>
    <row r="36" spans="1:24" x14ac:dyDescent="0.15">
      <c r="A36" s="166">
        <v>17</v>
      </c>
      <c r="B36" s="166" t="s">
        <v>658</v>
      </c>
      <c r="C36" s="166">
        <v>6</v>
      </c>
      <c r="D36" s="166">
        <v>2</v>
      </c>
      <c r="E36" s="166" t="s">
        <v>659</v>
      </c>
      <c r="F36" s="166"/>
      <c r="G36" s="166">
        <v>3900</v>
      </c>
      <c r="H36" s="168">
        <f>'resource needed- 3 types'!F8</f>
        <v>4875</v>
      </c>
      <c r="I36" s="168">
        <f>'resource needed- 3 types'!H8</f>
        <v>0</v>
      </c>
      <c r="J36" s="168">
        <f>'resource needed- 3 types'!G8</f>
        <v>125</v>
      </c>
      <c r="K36" s="166"/>
      <c r="L36" s="166"/>
      <c r="M36" s="166"/>
      <c r="N36" s="166"/>
      <c r="O36" s="167"/>
      <c r="P36" s="166"/>
      <c r="Q36" s="167"/>
      <c r="R36" s="166"/>
      <c r="S36" s="166"/>
      <c r="T36" s="167"/>
      <c r="U36" s="166"/>
      <c r="V36" s="167"/>
      <c r="W36" s="167"/>
      <c r="X36" s="169"/>
    </row>
    <row r="37" spans="1:24" x14ac:dyDescent="0.15">
      <c r="A37" s="166">
        <v>18</v>
      </c>
      <c r="B37" s="166" t="s">
        <v>658</v>
      </c>
      <c r="C37" s="166">
        <v>7</v>
      </c>
      <c r="D37" s="166">
        <v>2</v>
      </c>
      <c r="E37" s="166" t="s">
        <v>659</v>
      </c>
      <c r="F37" s="166"/>
      <c r="G37" s="166">
        <v>5850</v>
      </c>
      <c r="H37" s="168">
        <f>'resource needed- 3 types'!F9</f>
        <v>7275</v>
      </c>
      <c r="I37" s="168">
        <f>'resource needed- 3 types'!H9</f>
        <v>0</v>
      </c>
      <c r="J37" s="168">
        <f>'resource needed- 3 types'!G9</f>
        <v>225</v>
      </c>
      <c r="K37" s="166"/>
      <c r="L37" s="166"/>
      <c r="M37" s="166"/>
      <c r="N37" s="166"/>
      <c r="O37" s="167"/>
      <c r="P37" s="166"/>
      <c r="Q37" s="167"/>
      <c r="R37" s="166"/>
      <c r="S37" s="166"/>
      <c r="T37" s="167"/>
      <c r="U37" s="166"/>
      <c r="V37" s="167"/>
      <c r="W37" s="167"/>
      <c r="X37" s="169"/>
    </row>
    <row r="38" spans="1:24" x14ac:dyDescent="0.15">
      <c r="A38" s="166">
        <v>19</v>
      </c>
      <c r="B38" s="166" t="s">
        <v>658</v>
      </c>
      <c r="C38" s="166">
        <v>8</v>
      </c>
      <c r="D38" s="166">
        <v>2</v>
      </c>
      <c r="E38" s="166" t="s">
        <v>659</v>
      </c>
      <c r="F38" s="166"/>
      <c r="G38" s="166">
        <v>8060</v>
      </c>
      <c r="H38" s="168">
        <f>'resource needed- 3 types'!F10</f>
        <v>9971.6666666666661</v>
      </c>
      <c r="I38" s="168">
        <f>'resource needed- 3 types'!H10</f>
        <v>0</v>
      </c>
      <c r="J38" s="168">
        <f>'resource needed- 3 types'!G10</f>
        <v>361.66666666666674</v>
      </c>
      <c r="K38" s="166"/>
      <c r="L38" s="166"/>
      <c r="M38" s="166"/>
      <c r="N38" s="166"/>
      <c r="O38" s="167"/>
      <c r="P38" s="166"/>
      <c r="Q38" s="167"/>
      <c r="R38" s="166"/>
      <c r="S38" s="166"/>
      <c r="T38" s="167"/>
      <c r="U38" s="166"/>
      <c r="V38" s="167"/>
      <c r="W38" s="167"/>
      <c r="X38" s="169"/>
    </row>
    <row r="39" spans="1:24" x14ac:dyDescent="0.15">
      <c r="A39" s="166">
        <v>20</v>
      </c>
      <c r="B39" s="166" t="s">
        <v>658</v>
      </c>
      <c r="C39" s="166">
        <v>9</v>
      </c>
      <c r="D39" s="166">
        <v>2</v>
      </c>
      <c r="E39" s="166" t="s">
        <v>659</v>
      </c>
      <c r="F39" s="166"/>
      <c r="G39" s="166">
        <v>11180</v>
      </c>
      <c r="H39" s="168">
        <f>'resource needed- 3 types'!F11</f>
        <v>13760</v>
      </c>
      <c r="I39" s="168">
        <f>'resource needed- 3 types'!H11</f>
        <v>0</v>
      </c>
      <c r="J39" s="168">
        <f>'resource needed- 3 types'!G11</f>
        <v>573.33333333333337</v>
      </c>
      <c r="K39" s="166"/>
      <c r="L39" s="166"/>
      <c r="M39" s="166"/>
      <c r="N39" s="166"/>
      <c r="O39" s="167"/>
      <c r="P39" s="166"/>
      <c r="Q39" s="167"/>
      <c r="R39" s="166"/>
      <c r="S39" s="166"/>
      <c r="T39" s="167"/>
      <c r="U39" s="166"/>
      <c r="V39" s="167"/>
      <c r="W39" s="167"/>
      <c r="X39" s="169"/>
    </row>
    <row r="40" spans="1:24" x14ac:dyDescent="0.15">
      <c r="A40" s="166">
        <v>16</v>
      </c>
      <c r="B40" s="166" t="s">
        <v>658</v>
      </c>
      <c r="C40" s="166">
        <v>10</v>
      </c>
      <c r="D40" s="166">
        <v>2</v>
      </c>
      <c r="E40" s="166" t="s">
        <v>659</v>
      </c>
      <c r="F40" s="166"/>
      <c r="G40" s="166">
        <v>15600</v>
      </c>
      <c r="H40" s="168">
        <f>'resource needed- 3 types'!F12</f>
        <v>19100</v>
      </c>
      <c r="I40" s="168">
        <f>'resource needed- 3 types'!H12</f>
        <v>0</v>
      </c>
      <c r="J40" s="168">
        <f>'resource needed- 3 types'!G12</f>
        <v>900</v>
      </c>
      <c r="K40" s="166"/>
      <c r="L40" s="166"/>
      <c r="M40" s="166"/>
      <c r="N40" s="166"/>
      <c r="O40" s="167"/>
      <c r="P40" s="166"/>
      <c r="Q40" s="167"/>
      <c r="R40" s="166"/>
      <c r="S40" s="166"/>
      <c r="T40" s="167"/>
      <c r="U40" s="166"/>
      <c r="V40" s="167"/>
      <c r="W40" s="167"/>
      <c r="X40" s="169"/>
    </row>
    <row r="41" spans="1:24" x14ac:dyDescent="0.15">
      <c r="A41" s="166">
        <v>17</v>
      </c>
      <c r="B41" s="166" t="s">
        <v>658</v>
      </c>
      <c r="C41" s="166">
        <v>11</v>
      </c>
      <c r="D41" s="166">
        <v>2</v>
      </c>
      <c r="E41" s="166" t="s">
        <v>659</v>
      </c>
      <c r="F41" s="166"/>
      <c r="G41" s="166">
        <v>21580</v>
      </c>
      <c r="H41" s="168">
        <f>'resource needed- 3 types'!F13</f>
        <v>26283.333333333332</v>
      </c>
      <c r="I41" s="168">
        <f>'resource needed- 3 types'!H13</f>
        <v>0</v>
      </c>
      <c r="J41" s="168">
        <f>'resource needed- 3 types'!G13</f>
        <v>1383.3333333333335</v>
      </c>
      <c r="K41" s="166"/>
      <c r="L41" s="166"/>
      <c r="M41" s="166"/>
      <c r="N41" s="166"/>
      <c r="O41" s="167"/>
      <c r="P41" s="166"/>
      <c r="Q41" s="167"/>
      <c r="R41" s="166"/>
      <c r="S41" s="166"/>
      <c r="T41" s="167"/>
      <c r="U41" s="166"/>
      <c r="V41" s="167"/>
      <c r="W41" s="167"/>
      <c r="X41" s="169"/>
    </row>
    <row r="42" spans="1:24" x14ac:dyDescent="0.15">
      <c r="A42" s="166">
        <v>18</v>
      </c>
      <c r="B42" s="166" t="s">
        <v>658</v>
      </c>
      <c r="C42" s="166">
        <v>12</v>
      </c>
      <c r="D42" s="166">
        <v>2</v>
      </c>
      <c r="E42" s="166" t="s">
        <v>659</v>
      </c>
      <c r="F42" s="166"/>
      <c r="G42" s="166">
        <v>29900</v>
      </c>
      <c r="H42" s="168">
        <f>'resource needed- 3 types'!F14</f>
        <v>36225</v>
      </c>
      <c r="I42" s="168">
        <f>'resource needed- 3 types'!H14</f>
        <v>0</v>
      </c>
      <c r="J42" s="168">
        <f>'resource needed- 3 types'!G14</f>
        <v>2108.3333333333335</v>
      </c>
      <c r="K42" s="166"/>
      <c r="L42" s="166"/>
      <c r="M42" s="166"/>
      <c r="N42" s="166"/>
      <c r="O42" s="167"/>
      <c r="P42" s="166"/>
      <c r="Q42" s="167"/>
      <c r="R42" s="166"/>
      <c r="S42" s="166"/>
      <c r="T42" s="167"/>
      <c r="U42" s="166"/>
      <c r="V42" s="167"/>
      <c r="W42" s="167"/>
      <c r="X42" s="169"/>
    </row>
    <row r="43" spans="1:24" x14ac:dyDescent="0.15">
      <c r="A43" s="166">
        <v>19</v>
      </c>
      <c r="B43" s="166" t="s">
        <v>658</v>
      </c>
      <c r="C43" s="166">
        <v>13</v>
      </c>
      <c r="D43" s="166">
        <v>2</v>
      </c>
      <c r="E43" s="166" t="s">
        <v>659</v>
      </c>
      <c r="F43" s="166"/>
      <c r="G43" s="166">
        <v>42120</v>
      </c>
      <c r="H43" s="168">
        <f>'resource needed- 3 types'!F15</f>
        <v>50760</v>
      </c>
      <c r="I43" s="168">
        <f>'resource needed- 3 types'!H15</f>
        <v>0</v>
      </c>
      <c r="J43" s="168">
        <f>'resource needed- 3 types'!G15</f>
        <v>3240</v>
      </c>
      <c r="K43" s="166"/>
      <c r="L43" s="166"/>
      <c r="M43" s="166"/>
      <c r="N43" s="166"/>
      <c r="O43" s="167"/>
      <c r="P43" s="166"/>
      <c r="Q43" s="167"/>
      <c r="R43" s="166"/>
      <c r="S43" s="166"/>
      <c r="T43" s="167"/>
      <c r="U43" s="166"/>
      <c r="V43" s="167"/>
      <c r="W43" s="167"/>
      <c r="X43" s="169"/>
    </row>
    <row r="44" spans="1:24" x14ac:dyDescent="0.15">
      <c r="A44" s="166">
        <v>20</v>
      </c>
      <c r="B44" s="166" t="s">
        <v>658</v>
      </c>
      <c r="C44" s="166">
        <v>14</v>
      </c>
      <c r="D44" s="166">
        <v>2</v>
      </c>
      <c r="E44" s="166" t="s">
        <v>659</v>
      </c>
      <c r="F44" s="166"/>
      <c r="G44" s="166">
        <v>58500</v>
      </c>
      <c r="H44" s="168">
        <f>'resource needed- 3 types'!F16</f>
        <v>70125</v>
      </c>
      <c r="I44" s="168">
        <f>'resource needed- 3 types'!H16</f>
        <v>0</v>
      </c>
      <c r="J44" s="168">
        <f>'resource needed- 3 types'!G16</f>
        <v>4875</v>
      </c>
      <c r="K44" s="166"/>
      <c r="L44" s="166"/>
      <c r="M44" s="166"/>
      <c r="N44" s="166"/>
      <c r="O44" s="167"/>
      <c r="P44" s="166"/>
      <c r="Q44" s="167"/>
      <c r="R44" s="166"/>
      <c r="S44" s="166"/>
      <c r="T44" s="167"/>
      <c r="U44" s="166"/>
      <c r="V44" s="167"/>
      <c r="W44" s="167"/>
      <c r="X44" s="169"/>
    </row>
    <row r="45" spans="1:24" x14ac:dyDescent="0.15">
      <c r="A45" s="166">
        <v>11</v>
      </c>
      <c r="B45" s="166" t="s">
        <v>658</v>
      </c>
      <c r="C45" s="166">
        <v>15</v>
      </c>
      <c r="D45" s="166">
        <v>2</v>
      </c>
      <c r="E45" s="166" t="s">
        <v>659</v>
      </c>
      <c r="F45" s="166"/>
      <c r="G45" s="166">
        <v>81120</v>
      </c>
      <c r="H45" s="168">
        <f>'resource needed- 3 types'!F17</f>
        <v>96720</v>
      </c>
      <c r="I45" s="168">
        <f>'resource needed- 3 types'!H17</f>
        <v>0</v>
      </c>
      <c r="J45" s="168">
        <f>'resource needed- 3 types'!G17</f>
        <v>7280.0000000000009</v>
      </c>
      <c r="K45" s="167"/>
      <c r="L45" s="166"/>
      <c r="M45" s="166"/>
      <c r="N45" s="166"/>
      <c r="O45" s="167"/>
      <c r="P45" s="166"/>
      <c r="Q45" s="167"/>
      <c r="R45" s="166"/>
      <c r="S45" s="166"/>
      <c r="T45" s="167"/>
      <c r="U45" s="166"/>
      <c r="V45" s="167"/>
      <c r="W45" s="167"/>
      <c r="X45" s="169"/>
    </row>
    <row r="46" spans="1:24" x14ac:dyDescent="0.15">
      <c r="A46" s="166">
        <v>12</v>
      </c>
      <c r="B46" s="166" t="s">
        <v>658</v>
      </c>
      <c r="C46" s="166">
        <v>16</v>
      </c>
      <c r="D46" s="166">
        <v>2</v>
      </c>
      <c r="E46" s="166" t="s">
        <v>659</v>
      </c>
      <c r="F46" s="166"/>
      <c r="G46" s="166">
        <v>114660</v>
      </c>
      <c r="H46" s="168">
        <f>'resource needed- 3 types'!F18</f>
        <v>135975</v>
      </c>
      <c r="I46" s="168">
        <f>'resource needed- 3 types'!H18</f>
        <v>0</v>
      </c>
      <c r="J46" s="168">
        <f>'resource needed- 3 types'!G18</f>
        <v>11025</v>
      </c>
      <c r="K46" s="166"/>
      <c r="L46" s="166"/>
      <c r="M46" s="166"/>
      <c r="N46" s="166"/>
      <c r="O46" s="167"/>
      <c r="P46" s="166"/>
      <c r="Q46" s="167"/>
      <c r="R46" s="166"/>
      <c r="S46" s="166"/>
      <c r="T46" s="167"/>
      <c r="U46" s="166"/>
      <c r="V46" s="167"/>
      <c r="W46" s="167"/>
      <c r="X46" s="169"/>
    </row>
    <row r="47" spans="1:24" x14ac:dyDescent="0.15">
      <c r="A47" s="166">
        <v>13</v>
      </c>
      <c r="B47" s="166" t="s">
        <v>658</v>
      </c>
      <c r="C47" s="166">
        <v>17</v>
      </c>
      <c r="D47" s="166">
        <v>2</v>
      </c>
      <c r="E47" s="166" t="s">
        <v>659</v>
      </c>
      <c r="F47" s="166"/>
      <c r="G47" s="166">
        <v>159120</v>
      </c>
      <c r="H47" s="168">
        <f>'resource needed- 3 types'!F19</f>
        <v>187680</v>
      </c>
      <c r="I47" s="168">
        <f>'resource needed- 3 types'!H19</f>
        <v>0</v>
      </c>
      <c r="J47" s="168">
        <f>'resource needed- 3 types'!G19</f>
        <v>16320</v>
      </c>
      <c r="K47" s="166"/>
      <c r="L47" s="166"/>
      <c r="M47" s="166"/>
      <c r="N47" s="166"/>
      <c r="O47" s="167"/>
      <c r="P47" s="166"/>
      <c r="Q47" s="167"/>
      <c r="R47" s="166"/>
      <c r="S47" s="166"/>
      <c r="T47" s="167"/>
      <c r="U47" s="166"/>
      <c r="V47" s="167"/>
      <c r="W47" s="167"/>
      <c r="X47" s="169"/>
    </row>
    <row r="48" spans="1:24" x14ac:dyDescent="0.15">
      <c r="A48" s="166">
        <v>14</v>
      </c>
      <c r="B48" s="166" t="s">
        <v>658</v>
      </c>
      <c r="C48" s="166">
        <v>18</v>
      </c>
      <c r="D48" s="166">
        <v>2</v>
      </c>
      <c r="E48" s="166" t="s">
        <v>659</v>
      </c>
      <c r="F48" s="166"/>
      <c r="G48" s="166">
        <v>206700</v>
      </c>
      <c r="H48" s="168">
        <f>'resource needed- 3 types'!F20</f>
        <v>242475</v>
      </c>
      <c r="I48" s="168">
        <f>'resource needed- 3 types'!H20</f>
        <v>0</v>
      </c>
      <c r="J48" s="168">
        <f>'resource needed- 3 types'!G20</f>
        <v>22525</v>
      </c>
      <c r="K48" s="166"/>
      <c r="L48" s="166"/>
      <c r="M48" s="166"/>
      <c r="N48" s="166"/>
      <c r="O48" s="167"/>
      <c r="P48" s="166"/>
      <c r="Q48" s="167"/>
      <c r="R48" s="166"/>
      <c r="S48" s="166"/>
      <c r="T48" s="167"/>
      <c r="U48" s="166"/>
      <c r="V48" s="167"/>
      <c r="W48" s="167"/>
      <c r="X48" s="169"/>
    </row>
    <row r="49" spans="1:24" x14ac:dyDescent="0.15">
      <c r="A49" s="166">
        <v>15</v>
      </c>
      <c r="B49" s="166" t="s">
        <v>658</v>
      </c>
      <c r="C49" s="166">
        <v>19</v>
      </c>
      <c r="D49" s="166">
        <v>2</v>
      </c>
      <c r="E49" s="166" t="s">
        <v>659</v>
      </c>
      <c r="F49" s="166"/>
      <c r="G49" s="166">
        <v>312000</v>
      </c>
      <c r="H49" s="168">
        <f>'resource needed- 3 types'!F21</f>
        <v>364000</v>
      </c>
      <c r="I49" s="168">
        <f>'resource needed- 3 types'!H21</f>
        <v>0</v>
      </c>
      <c r="J49" s="168">
        <f>'resource needed- 3 types'!G21</f>
        <v>36000</v>
      </c>
      <c r="K49" s="166"/>
      <c r="L49" s="166"/>
      <c r="M49" s="166"/>
      <c r="N49" s="166"/>
      <c r="O49" s="167"/>
      <c r="P49" s="166"/>
      <c r="Q49" s="167"/>
      <c r="R49" s="166"/>
      <c r="S49" s="166"/>
      <c r="T49" s="167"/>
      <c r="U49" s="166"/>
      <c r="V49" s="167"/>
      <c r="W49" s="167"/>
      <c r="X49" s="169"/>
    </row>
    <row r="50" spans="1:24" x14ac:dyDescent="0.15">
      <c r="A50" s="166">
        <v>16</v>
      </c>
      <c r="B50" s="166" t="s">
        <v>658</v>
      </c>
      <c r="C50" s="166">
        <v>20</v>
      </c>
      <c r="D50" s="166">
        <v>2</v>
      </c>
      <c r="E50" s="166" t="s">
        <v>659</v>
      </c>
      <c r="F50" s="166"/>
      <c r="G50" s="166">
        <v>432900</v>
      </c>
      <c r="H50" s="168">
        <f>'resource needed- 3 types'!F22</f>
        <v>502275</v>
      </c>
      <c r="I50" s="168">
        <f>'resource needed- 3 types'!H22</f>
        <v>0</v>
      </c>
      <c r="J50" s="168">
        <f>'resource needed- 3 types'!G22</f>
        <v>52725</v>
      </c>
      <c r="K50" s="166"/>
      <c r="L50" s="166"/>
      <c r="M50" s="166"/>
      <c r="N50" s="166"/>
      <c r="O50" s="167"/>
      <c r="P50" s="166"/>
      <c r="Q50" s="167"/>
      <c r="R50" s="166"/>
      <c r="S50" s="166"/>
      <c r="T50" s="167"/>
      <c r="U50" s="166"/>
      <c r="V50" s="167"/>
      <c r="W50" s="167"/>
      <c r="X50" s="169"/>
    </row>
    <row r="51" spans="1:24" x14ac:dyDescent="0.15">
      <c r="A51" s="166">
        <v>17</v>
      </c>
      <c r="B51" s="166" t="s">
        <v>658</v>
      </c>
      <c r="C51" s="166">
        <v>21</v>
      </c>
      <c r="D51" s="166">
        <v>2</v>
      </c>
      <c r="E51" s="166" t="s">
        <v>659</v>
      </c>
      <c r="F51" s="166"/>
      <c r="G51" s="166">
        <v>600600</v>
      </c>
      <c r="H51" s="168">
        <f>'resource needed- 3 types'!F23</f>
        <v>693000</v>
      </c>
      <c r="I51" s="168">
        <f>'resource needed- 3 types'!H23</f>
        <v>0</v>
      </c>
      <c r="J51" s="168">
        <f>'resource needed- 3 types'!G23</f>
        <v>77000</v>
      </c>
      <c r="K51" s="166"/>
      <c r="L51" s="166"/>
      <c r="M51" s="166"/>
      <c r="N51" s="166"/>
      <c r="O51" s="167"/>
      <c r="P51" s="166"/>
      <c r="Q51" s="167"/>
      <c r="R51" s="166"/>
      <c r="S51" s="166"/>
      <c r="T51" s="167"/>
      <c r="U51" s="166"/>
      <c r="V51" s="167"/>
      <c r="W51" s="167"/>
      <c r="X51" s="169"/>
    </row>
    <row r="52" spans="1:24" x14ac:dyDescent="0.15">
      <c r="A52" s="166">
        <v>18</v>
      </c>
      <c r="B52" s="166" t="s">
        <v>658</v>
      </c>
      <c r="C52" s="166">
        <v>22</v>
      </c>
      <c r="D52" s="166">
        <v>2</v>
      </c>
      <c r="E52" s="166" t="s">
        <v>659</v>
      </c>
      <c r="F52" s="166"/>
      <c r="G52" s="166">
        <v>858000</v>
      </c>
      <c r="H52" s="168">
        <f>'resource needed- 3 types'!F24</f>
        <v>984500</v>
      </c>
      <c r="I52" s="168">
        <f>'resource needed- 3 types'!H24</f>
        <v>0</v>
      </c>
      <c r="J52" s="168">
        <f>'resource needed- 3 types'!G24</f>
        <v>115500</v>
      </c>
      <c r="K52" s="166"/>
      <c r="L52" s="166"/>
      <c r="M52" s="166"/>
      <c r="N52" s="166"/>
      <c r="O52" s="167"/>
      <c r="P52" s="166"/>
      <c r="Q52" s="167"/>
      <c r="R52" s="166"/>
      <c r="S52" s="166"/>
      <c r="T52" s="167"/>
      <c r="U52" s="166"/>
      <c r="V52" s="167"/>
      <c r="W52" s="167"/>
      <c r="X52" s="169"/>
    </row>
    <row r="53" spans="1:24" x14ac:dyDescent="0.15">
      <c r="A53" s="166">
        <v>19</v>
      </c>
      <c r="B53" s="166" t="s">
        <v>658</v>
      </c>
      <c r="C53" s="166">
        <v>23</v>
      </c>
      <c r="D53" s="166">
        <v>2</v>
      </c>
      <c r="E53" s="166" t="s">
        <v>659</v>
      </c>
      <c r="F53" s="166"/>
      <c r="G53" s="166">
        <v>1170000</v>
      </c>
      <c r="H53" s="168">
        <f>'resource needed- 3 types'!F25</f>
        <v>1335000</v>
      </c>
      <c r="I53" s="168">
        <f>'resource needed- 3 types'!H25</f>
        <v>0</v>
      </c>
      <c r="J53" s="168">
        <f>'resource needed- 3 types'!G25</f>
        <v>165000</v>
      </c>
      <c r="K53" s="166"/>
      <c r="L53" s="166"/>
      <c r="M53" s="166"/>
      <c r="N53" s="166"/>
      <c r="O53" s="167"/>
      <c r="P53" s="166"/>
      <c r="Q53" s="167"/>
      <c r="R53" s="166"/>
      <c r="S53" s="166"/>
      <c r="T53" s="167"/>
      <c r="U53" s="166"/>
      <c r="V53" s="167"/>
      <c r="W53" s="167"/>
      <c r="X53" s="169"/>
    </row>
    <row r="54" spans="1:24" x14ac:dyDescent="0.15">
      <c r="A54" s="166">
        <v>20</v>
      </c>
      <c r="B54" s="166" t="s">
        <v>658</v>
      </c>
      <c r="C54" s="166">
        <v>24</v>
      </c>
      <c r="D54" s="166">
        <v>2</v>
      </c>
      <c r="E54" s="166" t="s">
        <v>659</v>
      </c>
      <c r="F54" s="166"/>
      <c r="G54" s="166">
        <v>1684800</v>
      </c>
      <c r="H54" s="168">
        <f>'resource needed- 3 types'!F26</f>
        <v>1911600</v>
      </c>
      <c r="I54" s="168">
        <f>'resource needed- 3 types'!H26</f>
        <v>0</v>
      </c>
      <c r="J54" s="168">
        <f>'resource needed- 3 types'!G26</f>
        <v>248400</v>
      </c>
      <c r="K54" s="166"/>
      <c r="L54" s="166"/>
      <c r="M54" s="166"/>
      <c r="N54" s="166"/>
      <c r="O54" s="167"/>
      <c r="P54" s="166"/>
      <c r="Q54" s="167"/>
      <c r="R54" s="166"/>
      <c r="S54" s="166"/>
      <c r="T54" s="167"/>
      <c r="U54" s="166"/>
      <c r="V54" s="167"/>
      <c r="W54" s="167"/>
      <c r="X54" s="169"/>
    </row>
    <row r="55" spans="1:24" x14ac:dyDescent="0.15">
      <c r="A55" s="166">
        <v>20</v>
      </c>
      <c r="B55" s="166" t="s">
        <v>658</v>
      </c>
      <c r="C55" s="166">
        <v>25</v>
      </c>
      <c r="D55" s="166">
        <v>2</v>
      </c>
      <c r="E55" s="166" t="s">
        <v>659</v>
      </c>
      <c r="F55" s="166"/>
      <c r="G55" s="166">
        <v>2340000</v>
      </c>
      <c r="H55" s="168">
        <f>'resource needed- 3 types'!F27</f>
        <v>2640000</v>
      </c>
      <c r="I55" s="168">
        <f>'resource needed- 3 types'!H27</f>
        <v>0</v>
      </c>
      <c r="J55" s="168">
        <f>'resource needed- 3 types'!G27</f>
        <v>360000</v>
      </c>
      <c r="K55" s="166"/>
      <c r="L55" s="166"/>
      <c r="M55" s="166"/>
      <c r="N55" s="166"/>
      <c r="O55" s="167"/>
      <c r="P55" s="166"/>
      <c r="Q55" s="167"/>
      <c r="R55" s="166"/>
      <c r="S55" s="166"/>
      <c r="T55" s="167"/>
      <c r="U55" s="166"/>
      <c r="V55" s="167"/>
      <c r="W55" s="167"/>
      <c r="X55" s="169"/>
    </row>
    <row r="56" spans="1:24" x14ac:dyDescent="0.15">
      <c r="A56" s="166">
        <v>12</v>
      </c>
      <c r="B56" s="166" t="s">
        <v>660</v>
      </c>
      <c r="C56" s="166">
        <v>1</v>
      </c>
      <c r="D56" s="166">
        <v>2</v>
      </c>
      <c r="E56" s="166" t="s">
        <v>661</v>
      </c>
      <c r="F56" s="166"/>
      <c r="G56" s="166">
        <v>780</v>
      </c>
      <c r="H56" s="168">
        <f>'resource needed- 3 types'!I3</f>
        <v>1000</v>
      </c>
      <c r="I56" s="168">
        <f>'resource needed- 3 types'!K3</f>
        <v>0</v>
      </c>
      <c r="J56" s="168">
        <f>'resource needed- 3 types'!J3</f>
        <v>0</v>
      </c>
      <c r="K56" s="166"/>
      <c r="L56" s="166"/>
      <c r="M56" s="166"/>
      <c r="N56" s="166"/>
      <c r="O56" s="167"/>
      <c r="P56" s="166"/>
      <c r="Q56" s="167"/>
      <c r="R56" s="166"/>
      <c r="S56" s="166"/>
      <c r="T56" s="167"/>
      <c r="U56" s="166"/>
      <c r="V56" s="167"/>
      <c r="W56" s="167"/>
      <c r="X56" s="169"/>
    </row>
    <row r="57" spans="1:24" x14ac:dyDescent="0.15">
      <c r="A57" s="166">
        <v>13</v>
      </c>
      <c r="B57" s="166" t="s">
        <v>660</v>
      </c>
      <c r="C57" s="166">
        <v>2</v>
      </c>
      <c r="D57" s="166">
        <v>2</v>
      </c>
      <c r="E57" s="166" t="s">
        <v>661</v>
      </c>
      <c r="F57" s="166"/>
      <c r="G57" s="166">
        <v>1040</v>
      </c>
      <c r="H57" s="168">
        <f>'resource needed- 3 types'!I4</f>
        <v>1306.6666666666665</v>
      </c>
      <c r="I57" s="168">
        <f>'resource needed- 3 types'!K4</f>
        <v>26.666666666666664</v>
      </c>
      <c r="J57" s="168">
        <f>'resource needed- 3 types'!J4</f>
        <v>0</v>
      </c>
      <c r="K57" s="166"/>
      <c r="L57" s="166"/>
      <c r="M57" s="166"/>
      <c r="N57" s="166"/>
      <c r="O57" s="167"/>
      <c r="P57" s="166"/>
      <c r="Q57" s="167"/>
      <c r="R57" s="166"/>
      <c r="S57" s="166"/>
      <c r="T57" s="167"/>
      <c r="U57" s="166"/>
      <c r="V57" s="167"/>
      <c r="W57" s="167"/>
      <c r="X57" s="169"/>
    </row>
    <row r="58" spans="1:24" x14ac:dyDescent="0.15">
      <c r="A58" s="166">
        <v>14</v>
      </c>
      <c r="B58" s="166" t="s">
        <v>660</v>
      </c>
      <c r="C58" s="166">
        <v>3</v>
      </c>
      <c r="D58" s="166">
        <v>2</v>
      </c>
      <c r="E58" s="166" t="s">
        <v>661</v>
      </c>
      <c r="F58" s="166"/>
      <c r="G58" s="166">
        <v>1560</v>
      </c>
      <c r="H58" s="168">
        <f>'resource needed- 3 types'!I5</f>
        <v>1920</v>
      </c>
      <c r="I58" s="168">
        <f>'resource needed- 3 types'!K5</f>
        <v>80</v>
      </c>
      <c r="J58" s="168">
        <f>'resource needed- 3 types'!J5</f>
        <v>0</v>
      </c>
      <c r="K58" s="166"/>
      <c r="L58" s="166"/>
      <c r="M58" s="166"/>
      <c r="N58" s="166"/>
      <c r="O58" s="167"/>
      <c r="P58" s="166"/>
      <c r="Q58" s="167"/>
      <c r="R58" s="166"/>
      <c r="S58" s="166"/>
      <c r="T58" s="167"/>
      <c r="U58" s="166"/>
      <c r="V58" s="167"/>
      <c r="W58" s="167"/>
      <c r="X58" s="169"/>
    </row>
    <row r="59" spans="1:24" x14ac:dyDescent="0.15">
      <c r="A59" s="166">
        <v>15</v>
      </c>
      <c r="B59" s="166" t="s">
        <v>660</v>
      </c>
      <c r="C59" s="166">
        <v>4</v>
      </c>
      <c r="D59" s="166">
        <v>2</v>
      </c>
      <c r="E59" s="166" t="s">
        <v>661</v>
      </c>
      <c r="F59" s="166"/>
      <c r="G59" s="166">
        <v>2080</v>
      </c>
      <c r="H59" s="168">
        <f>'resource needed- 3 types'!I6</f>
        <v>2506.6666666666665</v>
      </c>
      <c r="I59" s="168">
        <f>'resource needed- 3 types'!K6</f>
        <v>159.99999999999997</v>
      </c>
      <c r="J59" s="168">
        <f>'resource needed- 3 types'!J6</f>
        <v>0</v>
      </c>
      <c r="K59" s="166"/>
      <c r="L59" s="166"/>
      <c r="M59" s="166"/>
      <c r="N59" s="166"/>
      <c r="O59" s="167"/>
      <c r="P59" s="166"/>
      <c r="Q59" s="167"/>
      <c r="R59" s="166"/>
      <c r="S59" s="166"/>
      <c r="T59" s="167"/>
      <c r="U59" s="166"/>
      <c r="V59" s="167"/>
      <c r="W59" s="167"/>
      <c r="X59" s="169"/>
    </row>
    <row r="60" spans="1:24" x14ac:dyDescent="0.15">
      <c r="A60" s="166">
        <v>16</v>
      </c>
      <c r="B60" s="166" t="s">
        <v>660</v>
      </c>
      <c r="C60" s="166">
        <v>5</v>
      </c>
      <c r="D60" s="166">
        <v>2</v>
      </c>
      <c r="E60" s="166" t="s">
        <v>661</v>
      </c>
      <c r="F60" s="166"/>
      <c r="G60" s="166">
        <v>3120</v>
      </c>
      <c r="H60" s="168">
        <f>'resource needed- 3 types'!I7</f>
        <v>3680</v>
      </c>
      <c r="I60" s="168">
        <f>'resource needed- 3 types'!K7</f>
        <v>320</v>
      </c>
      <c r="J60" s="168">
        <f>'resource needed- 3 types'!J7</f>
        <v>0</v>
      </c>
      <c r="K60" s="166"/>
      <c r="L60" s="166"/>
      <c r="M60" s="166"/>
      <c r="N60" s="166"/>
      <c r="O60" s="167"/>
      <c r="P60" s="166"/>
      <c r="Q60" s="167"/>
      <c r="R60" s="166"/>
      <c r="S60" s="166"/>
      <c r="T60" s="167"/>
      <c r="U60" s="166"/>
      <c r="V60" s="167"/>
      <c r="W60" s="167"/>
      <c r="X60" s="169"/>
    </row>
    <row r="61" spans="1:24" x14ac:dyDescent="0.15">
      <c r="A61" s="166">
        <v>17</v>
      </c>
      <c r="B61" s="166" t="s">
        <v>660</v>
      </c>
      <c r="C61" s="166">
        <v>6</v>
      </c>
      <c r="D61" s="166">
        <v>2</v>
      </c>
      <c r="E61" s="166" t="s">
        <v>661</v>
      </c>
      <c r="F61" s="166"/>
      <c r="G61" s="166">
        <v>3900</v>
      </c>
      <c r="H61" s="168">
        <f>'resource needed- 3 types'!I8</f>
        <v>4500</v>
      </c>
      <c r="I61" s="168">
        <f>'resource needed- 3 types'!K8</f>
        <v>500</v>
      </c>
      <c r="J61" s="168">
        <f>'resource needed- 3 types'!J8</f>
        <v>0</v>
      </c>
      <c r="K61" s="166"/>
      <c r="L61" s="166"/>
      <c r="M61" s="166"/>
      <c r="N61" s="166"/>
      <c r="O61" s="167"/>
      <c r="P61" s="166"/>
      <c r="Q61" s="167"/>
      <c r="R61" s="166"/>
      <c r="S61" s="166"/>
      <c r="T61" s="167"/>
      <c r="U61" s="166"/>
      <c r="V61" s="167"/>
      <c r="W61" s="167"/>
      <c r="X61" s="169"/>
    </row>
    <row r="62" spans="1:24" x14ac:dyDescent="0.15">
      <c r="A62" s="166">
        <v>18</v>
      </c>
      <c r="B62" s="166" t="s">
        <v>660</v>
      </c>
      <c r="C62" s="166">
        <v>7</v>
      </c>
      <c r="D62" s="166">
        <v>2</v>
      </c>
      <c r="E62" s="166" t="s">
        <v>661</v>
      </c>
      <c r="F62" s="166"/>
      <c r="G62" s="166">
        <v>5850</v>
      </c>
      <c r="H62" s="168">
        <f>'resource needed- 3 types'!I9</f>
        <v>6600</v>
      </c>
      <c r="I62" s="168">
        <f>'resource needed- 3 types'!K9</f>
        <v>900</v>
      </c>
      <c r="J62" s="168">
        <f>'resource needed- 3 types'!J9</f>
        <v>0</v>
      </c>
      <c r="K62" s="166"/>
      <c r="L62" s="166"/>
      <c r="M62" s="166"/>
      <c r="N62" s="166"/>
      <c r="O62" s="167"/>
      <c r="P62" s="166"/>
      <c r="Q62" s="167"/>
      <c r="R62" s="166"/>
      <c r="S62" s="166"/>
      <c r="T62" s="167"/>
      <c r="U62" s="166"/>
      <c r="V62" s="167"/>
      <c r="W62" s="167"/>
      <c r="X62" s="169"/>
    </row>
    <row r="63" spans="1:24" x14ac:dyDescent="0.15">
      <c r="A63" s="166">
        <v>19</v>
      </c>
      <c r="B63" s="166" t="s">
        <v>660</v>
      </c>
      <c r="C63" s="166">
        <v>8</v>
      </c>
      <c r="D63" s="166">
        <v>2</v>
      </c>
      <c r="E63" s="166" t="s">
        <v>661</v>
      </c>
      <c r="F63" s="166"/>
      <c r="G63" s="166">
        <v>8060</v>
      </c>
      <c r="H63" s="168">
        <f>'resource needed- 3 types'!I10</f>
        <v>8886.6666666666679</v>
      </c>
      <c r="I63" s="168">
        <f>'resource needed- 3 types'!K10</f>
        <v>1446.666666666667</v>
      </c>
      <c r="J63" s="168">
        <f>'resource needed- 3 types'!J10</f>
        <v>0</v>
      </c>
      <c r="K63" s="166"/>
      <c r="L63" s="166"/>
      <c r="M63" s="166"/>
      <c r="N63" s="166"/>
      <c r="O63" s="167"/>
      <c r="P63" s="166"/>
      <c r="Q63" s="167"/>
      <c r="R63" s="166"/>
      <c r="S63" s="166"/>
      <c r="T63" s="167"/>
      <c r="U63" s="166"/>
      <c r="V63" s="167"/>
      <c r="W63" s="167"/>
      <c r="X63" s="169"/>
    </row>
    <row r="64" spans="1:24" x14ac:dyDescent="0.15">
      <c r="A64" s="166">
        <v>20</v>
      </c>
      <c r="B64" s="166" t="s">
        <v>660</v>
      </c>
      <c r="C64" s="166">
        <v>9</v>
      </c>
      <c r="D64" s="166">
        <v>2</v>
      </c>
      <c r="E64" s="166" t="s">
        <v>661</v>
      </c>
      <c r="F64" s="166"/>
      <c r="G64" s="166">
        <v>11180</v>
      </c>
      <c r="H64" s="168">
        <f>'resource needed- 3 types'!I11</f>
        <v>12040</v>
      </c>
      <c r="I64" s="168">
        <f>'resource needed- 3 types'!K11</f>
        <v>2293.3333333333335</v>
      </c>
      <c r="J64" s="168">
        <f>'resource needed- 3 types'!J11</f>
        <v>0</v>
      </c>
      <c r="K64" s="166"/>
      <c r="L64" s="166"/>
      <c r="M64" s="166"/>
      <c r="N64" s="166"/>
      <c r="O64" s="167"/>
      <c r="P64" s="166"/>
      <c r="Q64" s="167"/>
      <c r="R64" s="166"/>
      <c r="S64" s="166"/>
      <c r="T64" s="167"/>
      <c r="U64" s="166"/>
      <c r="V64" s="167"/>
      <c r="W64" s="167"/>
      <c r="X64" s="169"/>
    </row>
    <row r="65" spans="1:24" x14ac:dyDescent="0.15">
      <c r="A65" s="166">
        <v>16</v>
      </c>
      <c r="B65" s="166" t="s">
        <v>660</v>
      </c>
      <c r="C65" s="166">
        <v>10</v>
      </c>
      <c r="D65" s="166">
        <v>2</v>
      </c>
      <c r="E65" s="166" t="s">
        <v>661</v>
      </c>
      <c r="F65" s="166"/>
      <c r="G65" s="166">
        <v>15600</v>
      </c>
      <c r="H65" s="168">
        <f>'resource needed- 3 types'!I12</f>
        <v>16400</v>
      </c>
      <c r="I65" s="168">
        <f>'resource needed- 3 types'!K12</f>
        <v>3600</v>
      </c>
      <c r="J65" s="168">
        <f>'resource needed- 3 types'!J12</f>
        <v>0</v>
      </c>
      <c r="K65" s="166"/>
      <c r="L65" s="166"/>
      <c r="M65" s="166"/>
      <c r="N65" s="166"/>
      <c r="O65" s="167"/>
      <c r="P65" s="166"/>
      <c r="Q65" s="167"/>
      <c r="R65" s="166"/>
      <c r="S65" s="166"/>
      <c r="T65" s="167"/>
      <c r="U65" s="166"/>
      <c r="V65" s="167"/>
      <c r="W65" s="167"/>
      <c r="X65" s="169"/>
    </row>
    <row r="66" spans="1:24" x14ac:dyDescent="0.15">
      <c r="A66" s="166">
        <v>17</v>
      </c>
      <c r="B66" s="166" t="s">
        <v>660</v>
      </c>
      <c r="C66" s="166">
        <v>11</v>
      </c>
      <c r="D66" s="166">
        <v>2</v>
      </c>
      <c r="E66" s="166" t="s">
        <v>661</v>
      </c>
      <c r="F66" s="166"/>
      <c r="G66" s="166">
        <v>21580</v>
      </c>
      <c r="H66" s="168">
        <f>'resource needed- 3 types'!I13</f>
        <v>22133.333333333336</v>
      </c>
      <c r="I66" s="168">
        <f>'resource needed- 3 types'!K13</f>
        <v>5533.3333333333339</v>
      </c>
      <c r="J66" s="168">
        <f>'resource needed- 3 types'!J13</f>
        <v>0</v>
      </c>
      <c r="K66" s="166"/>
      <c r="L66" s="166"/>
      <c r="M66" s="166"/>
      <c r="N66" s="166"/>
      <c r="O66" s="167"/>
      <c r="P66" s="166"/>
      <c r="Q66" s="167"/>
      <c r="R66" s="166"/>
      <c r="S66" s="166"/>
      <c r="T66" s="167"/>
      <c r="U66" s="166"/>
      <c r="V66" s="167"/>
      <c r="W66" s="167"/>
      <c r="X66" s="169"/>
    </row>
    <row r="67" spans="1:24" x14ac:dyDescent="0.15">
      <c r="A67" s="166">
        <v>18</v>
      </c>
      <c r="B67" s="166" t="s">
        <v>660</v>
      </c>
      <c r="C67" s="166">
        <v>12</v>
      </c>
      <c r="D67" s="166">
        <v>2</v>
      </c>
      <c r="E67" s="166" t="s">
        <v>661</v>
      </c>
      <c r="F67" s="166"/>
      <c r="G67" s="166">
        <v>29900</v>
      </c>
      <c r="H67" s="168">
        <f>'resource needed- 3 types'!I14</f>
        <v>29900.000000000004</v>
      </c>
      <c r="I67" s="168">
        <f>'resource needed- 3 types'!K14</f>
        <v>8433.3333333333339</v>
      </c>
      <c r="J67" s="168">
        <f>'resource needed- 3 types'!J14</f>
        <v>0</v>
      </c>
      <c r="K67" s="166"/>
      <c r="L67" s="166"/>
      <c r="M67" s="166"/>
      <c r="N67" s="166"/>
      <c r="O67" s="167"/>
      <c r="P67" s="166"/>
      <c r="Q67" s="167"/>
      <c r="R67" s="166"/>
      <c r="S67" s="166"/>
      <c r="T67" s="167"/>
      <c r="U67" s="166"/>
      <c r="V67" s="167"/>
      <c r="W67" s="167"/>
      <c r="X67" s="169"/>
    </row>
    <row r="68" spans="1:24" x14ac:dyDescent="0.15">
      <c r="A68" s="166">
        <v>19</v>
      </c>
      <c r="B68" s="166" t="s">
        <v>660</v>
      </c>
      <c r="C68" s="166">
        <v>13</v>
      </c>
      <c r="D68" s="166">
        <v>2</v>
      </c>
      <c r="E68" s="166" t="s">
        <v>661</v>
      </c>
      <c r="F68" s="166"/>
      <c r="G68" s="166">
        <v>42120</v>
      </c>
      <c r="H68" s="168">
        <f>'resource needed- 3 types'!I15</f>
        <v>41040</v>
      </c>
      <c r="I68" s="168">
        <f>'resource needed- 3 types'!K15</f>
        <v>12960</v>
      </c>
      <c r="J68" s="168">
        <f>'resource needed- 3 types'!J15</f>
        <v>0</v>
      </c>
      <c r="K68" s="166"/>
      <c r="L68" s="166"/>
      <c r="M68" s="166"/>
      <c r="N68" s="166"/>
      <c r="O68" s="167"/>
      <c r="P68" s="166"/>
      <c r="Q68" s="167"/>
      <c r="R68" s="166"/>
      <c r="S68" s="166"/>
      <c r="T68" s="167"/>
      <c r="U68" s="166"/>
      <c r="V68" s="167"/>
      <c r="W68" s="167"/>
      <c r="X68" s="169"/>
    </row>
    <row r="69" spans="1:24" x14ac:dyDescent="0.15">
      <c r="A69" s="166">
        <v>20</v>
      </c>
      <c r="B69" s="166" t="s">
        <v>660</v>
      </c>
      <c r="C69" s="166">
        <v>14</v>
      </c>
      <c r="D69" s="166">
        <v>2</v>
      </c>
      <c r="E69" s="166" t="s">
        <v>661</v>
      </c>
      <c r="F69" s="166"/>
      <c r="G69" s="166">
        <v>58500</v>
      </c>
      <c r="H69" s="168">
        <f>'resource needed- 3 types'!I16</f>
        <v>55500</v>
      </c>
      <c r="I69" s="168">
        <f>'resource needed- 3 types'!K16</f>
        <v>19500</v>
      </c>
      <c r="J69" s="168">
        <f>'resource needed- 3 types'!J16</f>
        <v>0</v>
      </c>
      <c r="K69" s="166"/>
      <c r="L69" s="166"/>
      <c r="M69" s="166"/>
      <c r="N69" s="166"/>
      <c r="O69" s="167"/>
      <c r="P69" s="166"/>
      <c r="Q69" s="167"/>
      <c r="R69" s="166"/>
      <c r="S69" s="166"/>
      <c r="T69" s="167"/>
      <c r="U69" s="166"/>
      <c r="V69" s="167"/>
      <c r="W69" s="167"/>
      <c r="X69" s="169"/>
    </row>
    <row r="70" spans="1:24" x14ac:dyDescent="0.15">
      <c r="A70" s="166">
        <v>11</v>
      </c>
      <c r="B70" s="166" t="s">
        <v>660</v>
      </c>
      <c r="C70" s="166">
        <v>15</v>
      </c>
      <c r="D70" s="166">
        <v>2</v>
      </c>
      <c r="E70" s="166" t="s">
        <v>661</v>
      </c>
      <c r="F70" s="166"/>
      <c r="G70" s="166">
        <v>81120</v>
      </c>
      <c r="H70" s="168">
        <f>'resource needed- 3 types'!I17</f>
        <v>74880</v>
      </c>
      <c r="I70" s="168">
        <f>'resource needed- 3 types'!K17</f>
        <v>29120.000000000004</v>
      </c>
      <c r="J70" s="168">
        <f>'resource needed- 3 types'!J17</f>
        <v>0</v>
      </c>
      <c r="K70" s="167"/>
      <c r="L70" s="166"/>
      <c r="M70" s="166"/>
      <c r="N70" s="166"/>
      <c r="O70" s="167"/>
      <c r="P70" s="166"/>
      <c r="Q70" s="167"/>
      <c r="R70" s="166"/>
      <c r="S70" s="166"/>
      <c r="T70" s="167"/>
      <c r="U70" s="166"/>
      <c r="V70" s="167"/>
      <c r="W70" s="167"/>
      <c r="X70" s="169"/>
    </row>
    <row r="71" spans="1:24" x14ac:dyDescent="0.15">
      <c r="A71" s="166">
        <v>12</v>
      </c>
      <c r="B71" s="166" t="s">
        <v>660</v>
      </c>
      <c r="C71" s="166">
        <v>16</v>
      </c>
      <c r="D71" s="166">
        <v>2</v>
      </c>
      <c r="E71" s="166" t="s">
        <v>661</v>
      </c>
      <c r="F71" s="166"/>
      <c r="G71" s="166">
        <v>114660</v>
      </c>
      <c r="H71" s="168">
        <f>'resource needed- 3 types'!I18</f>
        <v>102900</v>
      </c>
      <c r="I71" s="168">
        <f>'resource needed- 3 types'!K18</f>
        <v>44100</v>
      </c>
      <c r="J71" s="168">
        <f>'resource needed- 3 types'!J18</f>
        <v>0</v>
      </c>
      <c r="K71" s="166"/>
      <c r="L71" s="166"/>
      <c r="M71" s="166"/>
      <c r="N71" s="166"/>
      <c r="O71" s="167"/>
      <c r="P71" s="166"/>
      <c r="Q71" s="167"/>
      <c r="R71" s="166"/>
      <c r="S71" s="166"/>
      <c r="T71" s="167"/>
      <c r="U71" s="166"/>
      <c r="V71" s="167"/>
      <c r="W71" s="167"/>
      <c r="X71" s="169"/>
    </row>
    <row r="72" spans="1:24" x14ac:dyDescent="0.15">
      <c r="A72" s="166">
        <v>13</v>
      </c>
      <c r="B72" s="166" t="s">
        <v>660</v>
      </c>
      <c r="C72" s="166">
        <v>17</v>
      </c>
      <c r="D72" s="166">
        <v>2</v>
      </c>
      <c r="E72" s="166" t="s">
        <v>661</v>
      </c>
      <c r="F72" s="166"/>
      <c r="G72" s="166">
        <v>159120</v>
      </c>
      <c r="H72" s="168">
        <f>'resource needed- 3 types'!I19</f>
        <v>138720</v>
      </c>
      <c r="I72" s="168">
        <f>'resource needed- 3 types'!K19</f>
        <v>65280</v>
      </c>
      <c r="J72" s="168">
        <f>'resource needed- 3 types'!J19</f>
        <v>0</v>
      </c>
      <c r="K72" s="166"/>
      <c r="L72" s="166"/>
      <c r="M72" s="166"/>
      <c r="N72" s="166"/>
      <c r="O72" s="167"/>
      <c r="P72" s="166"/>
      <c r="Q72" s="167"/>
      <c r="R72" s="166"/>
      <c r="S72" s="166"/>
      <c r="T72" s="167"/>
      <c r="U72" s="166"/>
      <c r="V72" s="167"/>
      <c r="W72" s="167"/>
      <c r="X72" s="169"/>
    </row>
    <row r="73" spans="1:24" x14ac:dyDescent="0.15">
      <c r="A73" s="166">
        <v>14</v>
      </c>
      <c r="B73" s="166" t="s">
        <v>660</v>
      </c>
      <c r="C73" s="166">
        <v>18</v>
      </c>
      <c r="D73" s="166">
        <v>2</v>
      </c>
      <c r="E73" s="166" t="s">
        <v>661</v>
      </c>
      <c r="F73" s="166"/>
      <c r="G73" s="166">
        <v>206700</v>
      </c>
      <c r="H73" s="168">
        <f>'resource needed- 3 types'!I20</f>
        <v>174899.99999999997</v>
      </c>
      <c r="I73" s="168">
        <f>'resource needed- 3 types'!K20</f>
        <v>90100</v>
      </c>
      <c r="J73" s="168">
        <f>'resource needed- 3 types'!J20</f>
        <v>0</v>
      </c>
      <c r="K73" s="166"/>
      <c r="L73" s="166"/>
      <c r="M73" s="166"/>
      <c r="N73" s="166"/>
      <c r="O73" s="167"/>
      <c r="P73" s="166"/>
      <c r="Q73" s="167"/>
      <c r="R73" s="166"/>
      <c r="S73" s="166"/>
      <c r="T73" s="167"/>
      <c r="U73" s="166"/>
      <c r="V73" s="167"/>
      <c r="W73" s="167"/>
      <c r="X73" s="169"/>
    </row>
    <row r="74" spans="1:24" x14ac:dyDescent="0.15">
      <c r="A74" s="166">
        <v>15</v>
      </c>
      <c r="B74" s="166" t="s">
        <v>660</v>
      </c>
      <c r="C74" s="166">
        <v>19</v>
      </c>
      <c r="D74" s="166">
        <v>2</v>
      </c>
      <c r="E74" s="166" t="s">
        <v>661</v>
      </c>
      <c r="F74" s="166"/>
      <c r="G74" s="166">
        <v>312000</v>
      </c>
      <c r="H74" s="168">
        <f>'resource needed- 3 types'!I21</f>
        <v>256000</v>
      </c>
      <c r="I74" s="168">
        <f>'resource needed- 3 types'!K21</f>
        <v>144000</v>
      </c>
      <c r="J74" s="168">
        <f>'resource needed- 3 types'!J21</f>
        <v>0</v>
      </c>
      <c r="K74" s="166"/>
      <c r="L74" s="166"/>
      <c r="M74" s="166"/>
      <c r="N74" s="166"/>
      <c r="O74" s="167"/>
      <c r="P74" s="166"/>
      <c r="Q74" s="167"/>
      <c r="R74" s="166"/>
      <c r="S74" s="166"/>
      <c r="T74" s="167"/>
      <c r="U74" s="166"/>
      <c r="V74" s="167"/>
      <c r="W74" s="167"/>
      <c r="X74" s="169"/>
    </row>
    <row r="75" spans="1:24" x14ac:dyDescent="0.15">
      <c r="A75" s="166">
        <v>16</v>
      </c>
      <c r="B75" s="166" t="s">
        <v>660</v>
      </c>
      <c r="C75" s="166">
        <v>20</v>
      </c>
      <c r="D75" s="166">
        <v>2</v>
      </c>
      <c r="E75" s="166" t="s">
        <v>661</v>
      </c>
      <c r="F75" s="166"/>
      <c r="G75" s="166">
        <v>432900</v>
      </c>
      <c r="H75" s="168">
        <f>'resource needed- 3 types'!I22</f>
        <v>344100</v>
      </c>
      <c r="I75" s="168">
        <f>'resource needed- 3 types'!K22</f>
        <v>210900</v>
      </c>
      <c r="J75" s="168">
        <f>'resource needed- 3 types'!J22</f>
        <v>0</v>
      </c>
      <c r="K75" s="166"/>
      <c r="L75" s="166"/>
      <c r="M75" s="166"/>
      <c r="N75" s="166"/>
      <c r="O75" s="167"/>
      <c r="P75" s="166"/>
      <c r="Q75" s="167"/>
      <c r="R75" s="166"/>
      <c r="S75" s="166"/>
      <c r="T75" s="167"/>
      <c r="U75" s="166"/>
      <c r="V75" s="167"/>
      <c r="W75" s="167"/>
      <c r="X75" s="169"/>
    </row>
    <row r="76" spans="1:24" x14ac:dyDescent="0.15">
      <c r="A76" s="166">
        <v>17</v>
      </c>
      <c r="B76" s="166" t="s">
        <v>660</v>
      </c>
      <c r="C76" s="166">
        <v>21</v>
      </c>
      <c r="D76" s="166">
        <v>2</v>
      </c>
      <c r="E76" s="166" t="s">
        <v>661</v>
      </c>
      <c r="F76" s="166"/>
      <c r="G76" s="166">
        <v>600600</v>
      </c>
      <c r="H76" s="168">
        <f>'resource needed- 3 types'!I23</f>
        <v>462000</v>
      </c>
      <c r="I76" s="168">
        <f>'resource needed- 3 types'!K23</f>
        <v>308000</v>
      </c>
      <c r="J76" s="168">
        <f>'resource needed- 3 types'!J23</f>
        <v>0</v>
      </c>
      <c r="K76" s="166"/>
      <c r="L76" s="166"/>
      <c r="M76" s="166"/>
      <c r="N76" s="166"/>
      <c r="O76" s="167"/>
      <c r="P76" s="166"/>
      <c r="Q76" s="167"/>
      <c r="R76" s="166"/>
      <c r="S76" s="166"/>
      <c r="T76" s="167"/>
      <c r="U76" s="166"/>
      <c r="V76" s="167"/>
      <c r="W76" s="167"/>
      <c r="X76" s="169"/>
    </row>
    <row r="77" spans="1:24" x14ac:dyDescent="0.15">
      <c r="A77" s="166">
        <v>18</v>
      </c>
      <c r="B77" s="166" t="s">
        <v>660</v>
      </c>
      <c r="C77" s="166">
        <v>22</v>
      </c>
      <c r="D77" s="166">
        <v>2</v>
      </c>
      <c r="E77" s="166" t="s">
        <v>661</v>
      </c>
      <c r="F77" s="166"/>
      <c r="G77" s="166">
        <v>858000</v>
      </c>
      <c r="H77" s="168">
        <f>'resource needed- 3 types'!I24</f>
        <v>638000.00000000012</v>
      </c>
      <c r="I77" s="168">
        <f>'resource needed- 3 types'!K24</f>
        <v>462000</v>
      </c>
      <c r="J77" s="168">
        <f>'resource needed- 3 types'!J24</f>
        <v>0</v>
      </c>
      <c r="K77" s="166"/>
      <c r="L77" s="166"/>
      <c r="M77" s="166"/>
      <c r="N77" s="166"/>
      <c r="O77" s="167"/>
      <c r="P77" s="166"/>
      <c r="Q77" s="167"/>
      <c r="R77" s="166"/>
      <c r="S77" s="166"/>
      <c r="T77" s="167"/>
      <c r="U77" s="166"/>
      <c r="V77" s="167"/>
      <c r="W77" s="167"/>
      <c r="X77" s="169"/>
    </row>
    <row r="78" spans="1:24" x14ac:dyDescent="0.15">
      <c r="A78" s="166">
        <v>19</v>
      </c>
      <c r="B78" s="166" t="s">
        <v>660</v>
      </c>
      <c r="C78" s="166">
        <v>23</v>
      </c>
      <c r="D78" s="166">
        <v>2</v>
      </c>
      <c r="E78" s="166" t="s">
        <v>661</v>
      </c>
      <c r="F78" s="166"/>
      <c r="G78" s="166">
        <v>1170000</v>
      </c>
      <c r="H78" s="168">
        <f>'resource needed- 3 types'!I25</f>
        <v>840000.00000000012</v>
      </c>
      <c r="I78" s="168">
        <f>'resource needed- 3 types'!K25</f>
        <v>660000</v>
      </c>
      <c r="J78" s="168">
        <f>'resource needed- 3 types'!J25</f>
        <v>0</v>
      </c>
      <c r="K78" s="166"/>
      <c r="L78" s="166"/>
      <c r="M78" s="166"/>
      <c r="N78" s="166"/>
      <c r="O78" s="167"/>
      <c r="P78" s="166"/>
      <c r="Q78" s="167"/>
      <c r="R78" s="166"/>
      <c r="S78" s="166"/>
      <c r="T78" s="167"/>
      <c r="U78" s="166"/>
      <c r="V78" s="167"/>
      <c r="W78" s="167"/>
      <c r="X78" s="169"/>
    </row>
    <row r="79" spans="1:24" x14ac:dyDescent="0.15">
      <c r="A79" s="166">
        <v>20</v>
      </c>
      <c r="B79" s="166" t="s">
        <v>660</v>
      </c>
      <c r="C79" s="166">
        <v>24</v>
      </c>
      <c r="D79" s="166">
        <v>2</v>
      </c>
      <c r="E79" s="166" t="s">
        <v>661</v>
      </c>
      <c r="F79" s="166"/>
      <c r="G79" s="166">
        <v>1684800</v>
      </c>
      <c r="H79" s="168">
        <f>'resource needed- 3 types'!I26</f>
        <v>1166400</v>
      </c>
      <c r="I79" s="168">
        <f>'resource needed- 3 types'!K26</f>
        <v>993600</v>
      </c>
      <c r="J79" s="168">
        <f>'resource needed- 3 types'!J26</f>
        <v>0</v>
      </c>
      <c r="K79" s="166"/>
      <c r="L79" s="166"/>
      <c r="M79" s="166"/>
      <c r="N79" s="166"/>
      <c r="O79" s="167"/>
      <c r="P79" s="166"/>
      <c r="Q79" s="167"/>
      <c r="R79" s="166"/>
      <c r="S79" s="166"/>
      <c r="T79" s="167"/>
      <c r="U79" s="166"/>
      <c r="V79" s="167"/>
      <c r="W79" s="167"/>
      <c r="X79" s="169"/>
    </row>
    <row r="80" spans="1:24" x14ac:dyDescent="0.15">
      <c r="A80" s="166">
        <v>20</v>
      </c>
      <c r="B80" s="166" t="s">
        <v>660</v>
      </c>
      <c r="C80" s="166">
        <v>25</v>
      </c>
      <c r="D80" s="166">
        <v>2</v>
      </c>
      <c r="E80" s="166" t="s">
        <v>661</v>
      </c>
      <c r="F80" s="166"/>
      <c r="G80" s="166">
        <v>2340000</v>
      </c>
      <c r="H80" s="168">
        <f>'resource needed- 3 types'!I27</f>
        <v>1560000</v>
      </c>
      <c r="I80" s="168">
        <f>'resource needed- 3 types'!K27</f>
        <v>1440000</v>
      </c>
      <c r="J80" s="168">
        <f>'resource needed- 3 types'!J27</f>
        <v>0</v>
      </c>
      <c r="K80" s="166"/>
      <c r="L80" s="166"/>
      <c r="M80" s="166"/>
      <c r="N80" s="166"/>
      <c r="O80" s="167"/>
      <c r="P80" s="166"/>
      <c r="Q80" s="167"/>
      <c r="R80" s="166"/>
      <c r="S80" s="166"/>
      <c r="T80" s="167"/>
      <c r="U80" s="166"/>
      <c r="V80" s="167"/>
      <c r="W80" s="167"/>
      <c r="X80" s="16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H14" sqref="H14"/>
    </sheetView>
  </sheetViews>
  <sheetFormatPr defaultRowHeight="16.5" x14ac:dyDescent="0.15"/>
  <cols>
    <col min="1" max="1" width="9" style="2"/>
    <col min="2" max="2" width="17.75" style="2" customWidth="1"/>
    <col min="3" max="3" width="16.5" style="2" bestFit="1" customWidth="1"/>
    <col min="4" max="16384" width="9" style="2"/>
  </cols>
  <sheetData>
    <row r="1" spans="1:3" ht="33.75" thickBot="1" x14ac:dyDescent="0.2">
      <c r="A1" s="132" t="s">
        <v>617</v>
      </c>
      <c r="B1" s="133" t="s">
        <v>621</v>
      </c>
      <c r="C1" s="133" t="s">
        <v>622</v>
      </c>
    </row>
    <row r="2" spans="1:3" x14ac:dyDescent="0.15">
      <c r="A2" s="68">
        <v>1</v>
      </c>
      <c r="B2" s="66">
        <v>0.01</v>
      </c>
      <c r="C2" s="136">
        <f>B2+100%</f>
        <v>1.01</v>
      </c>
    </row>
    <row r="3" spans="1:3" x14ac:dyDescent="0.15">
      <c r="A3" s="68">
        <v>2</v>
      </c>
      <c r="B3" s="66">
        <v>0.01</v>
      </c>
      <c r="C3" s="136">
        <f t="shared" ref="C3:C31" si="0">B3+100%</f>
        <v>1.01</v>
      </c>
    </row>
    <row r="4" spans="1:3" x14ac:dyDescent="0.15">
      <c r="A4" s="68">
        <v>3</v>
      </c>
      <c r="B4" s="66">
        <v>0.01</v>
      </c>
      <c r="C4" s="136">
        <f t="shared" si="0"/>
        <v>1.01</v>
      </c>
    </row>
    <row r="5" spans="1:3" x14ac:dyDescent="0.15">
      <c r="A5" s="68">
        <v>4</v>
      </c>
      <c r="B5" s="66">
        <v>0.02</v>
      </c>
      <c r="C5" s="136">
        <f t="shared" si="0"/>
        <v>1.02</v>
      </c>
    </row>
    <row r="6" spans="1:3" x14ac:dyDescent="0.15">
      <c r="A6" s="68">
        <v>5</v>
      </c>
      <c r="B6" s="66">
        <v>0.02</v>
      </c>
      <c r="C6" s="136">
        <f t="shared" si="0"/>
        <v>1.02</v>
      </c>
    </row>
    <row r="7" spans="1:3" x14ac:dyDescent="0.15">
      <c r="A7" s="68">
        <v>6</v>
      </c>
      <c r="B7" s="66">
        <v>0.02</v>
      </c>
      <c r="C7" s="136">
        <f t="shared" si="0"/>
        <v>1.02</v>
      </c>
    </row>
    <row r="8" spans="1:3" x14ac:dyDescent="0.15">
      <c r="A8" s="68">
        <v>7</v>
      </c>
      <c r="B8" s="66">
        <v>0.03</v>
      </c>
      <c r="C8" s="136">
        <f t="shared" si="0"/>
        <v>1.03</v>
      </c>
    </row>
    <row r="9" spans="1:3" x14ac:dyDescent="0.15">
      <c r="A9" s="68">
        <v>8</v>
      </c>
      <c r="B9" s="66">
        <v>0.03</v>
      </c>
      <c r="C9" s="136">
        <f t="shared" si="0"/>
        <v>1.03</v>
      </c>
    </row>
    <row r="10" spans="1:3" x14ac:dyDescent="0.15">
      <c r="A10" s="68">
        <v>9</v>
      </c>
      <c r="B10" s="66">
        <v>0.03</v>
      </c>
      <c r="C10" s="136">
        <f t="shared" si="0"/>
        <v>1.03</v>
      </c>
    </row>
    <row r="11" spans="1:3" x14ac:dyDescent="0.15">
      <c r="A11" s="68">
        <v>10</v>
      </c>
      <c r="B11" s="66">
        <v>0.04</v>
      </c>
      <c r="C11" s="136">
        <f t="shared" si="0"/>
        <v>1.04</v>
      </c>
    </row>
    <row r="12" spans="1:3" x14ac:dyDescent="0.15">
      <c r="A12" s="68">
        <v>11</v>
      </c>
      <c r="B12" s="66">
        <v>0.04</v>
      </c>
      <c r="C12" s="136">
        <f t="shared" si="0"/>
        <v>1.04</v>
      </c>
    </row>
    <row r="13" spans="1:3" x14ac:dyDescent="0.15">
      <c r="A13" s="68">
        <v>12</v>
      </c>
      <c r="B13" s="66">
        <v>0.04</v>
      </c>
      <c r="C13" s="136">
        <f t="shared" si="0"/>
        <v>1.04</v>
      </c>
    </row>
    <row r="14" spans="1:3" x14ac:dyDescent="0.15">
      <c r="A14" s="68">
        <v>13</v>
      </c>
      <c r="B14" s="66">
        <v>0.05</v>
      </c>
      <c r="C14" s="136">
        <f t="shared" si="0"/>
        <v>1.05</v>
      </c>
    </row>
    <row r="15" spans="1:3" x14ac:dyDescent="0.15">
      <c r="A15" s="68">
        <v>14</v>
      </c>
      <c r="B15" s="66">
        <v>0.05</v>
      </c>
      <c r="C15" s="136">
        <f t="shared" si="0"/>
        <v>1.05</v>
      </c>
    </row>
    <row r="16" spans="1:3" x14ac:dyDescent="0.15">
      <c r="A16" s="68">
        <v>15</v>
      </c>
      <c r="B16" s="66">
        <v>0.05</v>
      </c>
      <c r="C16" s="136">
        <f t="shared" si="0"/>
        <v>1.05</v>
      </c>
    </row>
    <row r="17" spans="1:3" x14ac:dyDescent="0.15">
      <c r="A17" s="68">
        <v>16</v>
      </c>
      <c r="B17" s="66">
        <v>7.0000000000000007E-2</v>
      </c>
      <c r="C17" s="136">
        <f t="shared" si="0"/>
        <v>1.07</v>
      </c>
    </row>
    <row r="18" spans="1:3" x14ac:dyDescent="0.15">
      <c r="A18" s="68">
        <v>17</v>
      </c>
      <c r="B18" s="66">
        <v>7.0000000000000007E-2</v>
      </c>
      <c r="C18" s="136">
        <f t="shared" si="0"/>
        <v>1.07</v>
      </c>
    </row>
    <row r="19" spans="1:3" x14ac:dyDescent="0.15">
      <c r="A19" s="68">
        <v>18</v>
      </c>
      <c r="B19" s="66">
        <v>7.0000000000000007E-2</v>
      </c>
      <c r="C19" s="136">
        <f t="shared" si="0"/>
        <v>1.07</v>
      </c>
    </row>
    <row r="20" spans="1:3" x14ac:dyDescent="0.15">
      <c r="A20" s="68">
        <v>19</v>
      </c>
      <c r="B20" s="66">
        <v>0.09</v>
      </c>
      <c r="C20" s="136">
        <f t="shared" si="0"/>
        <v>1.0900000000000001</v>
      </c>
    </row>
    <row r="21" spans="1:3" x14ac:dyDescent="0.15">
      <c r="A21" s="68">
        <v>20</v>
      </c>
      <c r="B21" s="66">
        <v>0.09</v>
      </c>
      <c r="C21" s="136">
        <f t="shared" si="0"/>
        <v>1.0900000000000001</v>
      </c>
    </row>
    <row r="22" spans="1:3" x14ac:dyDescent="0.15">
      <c r="A22" s="68">
        <v>21</v>
      </c>
      <c r="B22" s="66">
        <v>0.09</v>
      </c>
      <c r="C22" s="136">
        <f t="shared" si="0"/>
        <v>1.0900000000000001</v>
      </c>
    </row>
    <row r="23" spans="1:3" x14ac:dyDescent="0.15">
      <c r="A23" s="68">
        <v>22</v>
      </c>
      <c r="B23" s="66">
        <v>0.12</v>
      </c>
      <c r="C23" s="136">
        <f t="shared" si="0"/>
        <v>1.1200000000000001</v>
      </c>
    </row>
    <row r="24" spans="1:3" x14ac:dyDescent="0.15">
      <c r="A24" s="68">
        <v>23</v>
      </c>
      <c r="B24" s="66">
        <v>0.12</v>
      </c>
      <c r="C24" s="136">
        <f t="shared" si="0"/>
        <v>1.1200000000000001</v>
      </c>
    </row>
    <row r="25" spans="1:3" x14ac:dyDescent="0.15">
      <c r="A25" s="68">
        <v>24</v>
      </c>
      <c r="B25" s="66">
        <v>0.12</v>
      </c>
      <c r="C25" s="136">
        <f t="shared" si="0"/>
        <v>1.1200000000000001</v>
      </c>
    </row>
    <row r="26" spans="1:3" x14ac:dyDescent="0.15">
      <c r="A26" s="68">
        <v>25</v>
      </c>
      <c r="B26" s="66">
        <v>0.15</v>
      </c>
      <c r="C26" s="136">
        <f t="shared" si="0"/>
        <v>1.1499999999999999</v>
      </c>
    </row>
    <row r="27" spans="1:3" x14ac:dyDescent="0.15">
      <c r="A27" s="68">
        <v>26</v>
      </c>
      <c r="B27" s="66">
        <v>0.15</v>
      </c>
      <c r="C27" s="136">
        <f t="shared" si="0"/>
        <v>1.1499999999999999</v>
      </c>
    </row>
    <row r="28" spans="1:3" x14ac:dyDescent="0.15">
      <c r="A28" s="68">
        <v>27</v>
      </c>
      <c r="B28" s="66">
        <v>0.15</v>
      </c>
      <c r="C28" s="136">
        <f t="shared" si="0"/>
        <v>1.1499999999999999</v>
      </c>
    </row>
    <row r="29" spans="1:3" x14ac:dyDescent="0.15">
      <c r="A29" s="68">
        <v>28</v>
      </c>
      <c r="B29" s="66">
        <v>0.2</v>
      </c>
      <c r="C29" s="136">
        <f t="shared" si="0"/>
        <v>1.2</v>
      </c>
    </row>
    <row r="30" spans="1:3" x14ac:dyDescent="0.15">
      <c r="A30" s="68">
        <v>29</v>
      </c>
      <c r="B30" s="66">
        <v>0.2</v>
      </c>
      <c r="C30" s="136">
        <f t="shared" si="0"/>
        <v>1.2</v>
      </c>
    </row>
    <row r="31" spans="1:3" ht="17.25" thickBot="1" x14ac:dyDescent="0.2">
      <c r="A31" s="134">
        <v>30</v>
      </c>
      <c r="B31" s="135">
        <v>0.2</v>
      </c>
      <c r="C31" s="137">
        <f t="shared" si="0"/>
        <v>1.2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>
      <selection activeCell="M22" sqref="M22"/>
    </sheetView>
  </sheetViews>
  <sheetFormatPr defaultRowHeight="16.5" x14ac:dyDescent="0.15"/>
  <cols>
    <col min="1" max="1" width="9" style="76"/>
    <col min="2" max="2" width="17.25" style="76" bestFit="1" customWidth="1"/>
    <col min="3" max="3" width="9.375" style="76" customWidth="1"/>
    <col min="4" max="11" width="9" style="76"/>
    <col min="12" max="12" width="9.375" style="76" customWidth="1"/>
    <col min="13" max="16384" width="9" style="76"/>
  </cols>
  <sheetData>
    <row r="1" spans="1:20" x14ac:dyDescent="0.15">
      <c r="A1" s="162"/>
      <c r="B1" s="162"/>
      <c r="C1" s="181" t="s">
        <v>716</v>
      </c>
      <c r="D1" s="181"/>
      <c r="E1" s="181"/>
      <c r="F1" s="181" t="s">
        <v>717</v>
      </c>
      <c r="G1" s="181"/>
      <c r="H1" s="181"/>
      <c r="I1" s="181" t="s">
        <v>718</v>
      </c>
      <c r="J1" s="181"/>
      <c r="K1" s="181"/>
      <c r="L1" s="181" t="s">
        <v>716</v>
      </c>
      <c r="M1" s="181"/>
      <c r="N1" s="181"/>
      <c r="O1" s="181" t="s">
        <v>717</v>
      </c>
      <c r="P1" s="181"/>
      <c r="Q1" s="181"/>
      <c r="R1" s="181" t="s">
        <v>718</v>
      </c>
      <c r="S1" s="181"/>
      <c r="T1" s="181"/>
    </row>
    <row r="2" spans="1:20" x14ac:dyDescent="0.15">
      <c r="A2" s="162" t="s">
        <v>711</v>
      </c>
      <c r="B2" s="162" t="s">
        <v>712</v>
      </c>
      <c r="C2" s="162" t="s">
        <v>713</v>
      </c>
      <c r="D2" s="162" t="s">
        <v>714</v>
      </c>
      <c r="E2" s="162" t="s">
        <v>715</v>
      </c>
      <c r="F2" s="162" t="s">
        <v>713</v>
      </c>
      <c r="G2" s="162" t="s">
        <v>714</v>
      </c>
      <c r="H2" s="162" t="s">
        <v>715</v>
      </c>
      <c r="I2" s="162" t="s">
        <v>713</v>
      </c>
      <c r="J2" s="162" t="s">
        <v>714</v>
      </c>
      <c r="K2" s="162" t="s">
        <v>715</v>
      </c>
      <c r="L2" s="162" t="s">
        <v>713</v>
      </c>
      <c r="M2" s="162" t="s">
        <v>714</v>
      </c>
      <c r="N2" s="162" t="s">
        <v>715</v>
      </c>
      <c r="O2" s="162" t="s">
        <v>713</v>
      </c>
      <c r="P2" s="162" t="s">
        <v>714</v>
      </c>
      <c r="Q2" s="162" t="s">
        <v>715</v>
      </c>
      <c r="R2" s="162" t="s">
        <v>713</v>
      </c>
      <c r="S2" s="162" t="s">
        <v>714</v>
      </c>
      <c r="T2" s="162" t="s">
        <v>715</v>
      </c>
    </row>
    <row r="3" spans="1:20" x14ac:dyDescent="0.15">
      <c r="A3" s="76">
        <v>1</v>
      </c>
      <c r="B3" s="62">
        <v>1000</v>
      </c>
      <c r="C3" s="160">
        <f t="shared" ref="C3:C27" si="0">$B3*L3</f>
        <v>1000</v>
      </c>
      <c r="D3" s="160">
        <f t="shared" ref="D3:D27" si="1">$B3*M3</f>
        <v>0</v>
      </c>
      <c r="E3" s="160">
        <f t="shared" ref="E3:E27" si="2">$B3*N3</f>
        <v>0</v>
      </c>
      <c r="F3" s="160">
        <f t="shared" ref="F3:F27" si="3">$B3*O3</f>
        <v>1000</v>
      </c>
      <c r="G3" s="160">
        <f t="shared" ref="G3:G27" si="4">$B3*P3</f>
        <v>0</v>
      </c>
      <c r="H3" s="160">
        <f t="shared" ref="H3:H27" si="5">$B3*Q3</f>
        <v>0</v>
      </c>
      <c r="I3" s="160">
        <f t="shared" ref="I3" si="6">$B3*R3</f>
        <v>1000</v>
      </c>
      <c r="J3" s="160">
        <f t="shared" ref="J3:J27" si="7">$B3*S3</f>
        <v>0</v>
      </c>
      <c r="K3" s="160">
        <f t="shared" ref="K3:K27" si="8">$B3*T3</f>
        <v>0</v>
      </c>
      <c r="L3" s="159">
        <f>1-M3-N3</f>
        <v>1</v>
      </c>
      <c r="M3" s="159">
        <v>0</v>
      </c>
      <c r="N3" s="159">
        <v>0</v>
      </c>
      <c r="O3" s="159">
        <f>1-P3</f>
        <v>1</v>
      </c>
      <c r="P3" s="159">
        <v>0</v>
      </c>
      <c r="Q3" s="159">
        <v>0</v>
      </c>
      <c r="R3" s="159">
        <v>1</v>
      </c>
      <c r="S3" s="159">
        <v>0</v>
      </c>
      <c r="T3" s="159">
        <v>0</v>
      </c>
    </row>
    <row r="4" spans="1:20" x14ac:dyDescent="0.15">
      <c r="A4" s="76">
        <v>2</v>
      </c>
      <c r="B4" s="62">
        <v>1333.3333333333333</v>
      </c>
      <c r="C4" s="160">
        <f t="shared" si="0"/>
        <v>1300</v>
      </c>
      <c r="D4" s="160">
        <f t="shared" si="1"/>
        <v>6.6666666666666661</v>
      </c>
      <c r="E4" s="160">
        <f t="shared" si="2"/>
        <v>26.666666666666664</v>
      </c>
      <c r="F4" s="160">
        <f t="shared" si="3"/>
        <v>1326.6666666666665</v>
      </c>
      <c r="G4" s="160">
        <f t="shared" si="4"/>
        <v>6.6666666666666661</v>
      </c>
      <c r="H4" s="160">
        <f t="shared" si="5"/>
        <v>0</v>
      </c>
      <c r="I4" s="160">
        <f>$B4*R4</f>
        <v>1306.6666666666665</v>
      </c>
      <c r="J4" s="160">
        <f t="shared" si="7"/>
        <v>0</v>
      </c>
      <c r="K4" s="160">
        <f t="shared" si="8"/>
        <v>26.666666666666664</v>
      </c>
      <c r="L4" s="159">
        <f t="shared" ref="L4:L27" si="9">1-M4-N4</f>
        <v>0.97499999999999998</v>
      </c>
      <c r="M4" s="159">
        <v>5.0000000000000001E-3</v>
      </c>
      <c r="N4" s="159">
        <v>0.02</v>
      </c>
      <c r="O4" s="159">
        <f t="shared" ref="O4:O27" si="10">1-P4</f>
        <v>0.995</v>
      </c>
      <c r="P4" s="161">
        <v>5.0000000000000001E-3</v>
      </c>
      <c r="Q4" s="159">
        <v>0</v>
      </c>
      <c r="R4" s="159">
        <f>1-T4</f>
        <v>0.98</v>
      </c>
      <c r="S4" s="159">
        <v>0</v>
      </c>
      <c r="T4" s="159">
        <v>0.02</v>
      </c>
    </row>
    <row r="5" spans="1:20" x14ac:dyDescent="0.15">
      <c r="A5" s="76">
        <v>3</v>
      </c>
      <c r="B5" s="62">
        <v>2000</v>
      </c>
      <c r="C5" s="160">
        <f t="shared" si="0"/>
        <v>1900</v>
      </c>
      <c r="D5" s="160">
        <f t="shared" si="1"/>
        <v>20</v>
      </c>
      <c r="E5" s="160">
        <f t="shared" si="2"/>
        <v>80</v>
      </c>
      <c r="F5" s="160">
        <f t="shared" si="3"/>
        <v>1980</v>
      </c>
      <c r="G5" s="160">
        <f t="shared" si="4"/>
        <v>20</v>
      </c>
      <c r="H5" s="160">
        <f t="shared" si="5"/>
        <v>0</v>
      </c>
      <c r="I5" s="160">
        <f t="shared" ref="I5:I27" si="11">$B5*R5</f>
        <v>1920</v>
      </c>
      <c r="J5" s="160">
        <f t="shared" si="7"/>
        <v>0</v>
      </c>
      <c r="K5" s="160">
        <f t="shared" si="8"/>
        <v>80</v>
      </c>
      <c r="L5" s="159">
        <f t="shared" si="9"/>
        <v>0.95</v>
      </c>
      <c r="M5" s="159">
        <v>0.01</v>
      </c>
      <c r="N5" s="159">
        <v>0.04</v>
      </c>
      <c r="O5" s="159">
        <f t="shared" si="10"/>
        <v>0.99</v>
      </c>
      <c r="P5" s="161">
        <v>0.01</v>
      </c>
      <c r="Q5" s="159">
        <v>0</v>
      </c>
      <c r="R5" s="159">
        <f t="shared" ref="R5:R27" si="12">1-T5</f>
        <v>0.96</v>
      </c>
      <c r="S5" s="159">
        <v>0</v>
      </c>
      <c r="T5" s="159">
        <v>0.04</v>
      </c>
    </row>
    <row r="6" spans="1:20" x14ac:dyDescent="0.15">
      <c r="A6" s="76">
        <v>4</v>
      </c>
      <c r="B6" s="62">
        <v>2666.6666666666665</v>
      </c>
      <c r="C6" s="160">
        <f t="shared" si="0"/>
        <v>2466.6666666666665</v>
      </c>
      <c r="D6" s="160">
        <f t="shared" si="1"/>
        <v>39.999999999999993</v>
      </c>
      <c r="E6" s="160">
        <f t="shared" si="2"/>
        <v>159.99999999999997</v>
      </c>
      <c r="F6" s="160">
        <f t="shared" si="3"/>
        <v>2626.6666666666665</v>
      </c>
      <c r="G6" s="160">
        <f t="shared" si="4"/>
        <v>39.999999999999993</v>
      </c>
      <c r="H6" s="160">
        <f t="shared" si="5"/>
        <v>0</v>
      </c>
      <c r="I6" s="160">
        <f t="shared" si="11"/>
        <v>2506.6666666666665</v>
      </c>
      <c r="J6" s="160">
        <f t="shared" si="7"/>
        <v>0</v>
      </c>
      <c r="K6" s="160">
        <f t="shared" si="8"/>
        <v>159.99999999999997</v>
      </c>
      <c r="L6" s="159">
        <f t="shared" si="9"/>
        <v>0.92500000000000004</v>
      </c>
      <c r="M6" s="159">
        <v>1.4999999999999999E-2</v>
      </c>
      <c r="N6" s="159">
        <v>0.06</v>
      </c>
      <c r="O6" s="159">
        <f t="shared" si="10"/>
        <v>0.98499999999999999</v>
      </c>
      <c r="P6" s="161">
        <v>1.4999999999999999E-2</v>
      </c>
      <c r="Q6" s="159">
        <v>0</v>
      </c>
      <c r="R6" s="159">
        <f t="shared" si="12"/>
        <v>0.94</v>
      </c>
      <c r="S6" s="159">
        <v>0</v>
      </c>
      <c r="T6" s="159">
        <v>0.06</v>
      </c>
    </row>
    <row r="7" spans="1:20" x14ac:dyDescent="0.15">
      <c r="A7" s="76">
        <v>5</v>
      </c>
      <c r="B7" s="62">
        <v>4000</v>
      </c>
      <c r="C7" s="160">
        <f t="shared" si="0"/>
        <v>3600</v>
      </c>
      <c r="D7" s="160">
        <f t="shared" si="1"/>
        <v>80</v>
      </c>
      <c r="E7" s="160">
        <f t="shared" si="2"/>
        <v>320</v>
      </c>
      <c r="F7" s="160">
        <f t="shared" si="3"/>
        <v>3920</v>
      </c>
      <c r="G7" s="160">
        <f t="shared" si="4"/>
        <v>80</v>
      </c>
      <c r="H7" s="160">
        <f t="shared" si="5"/>
        <v>0</v>
      </c>
      <c r="I7" s="160">
        <f t="shared" si="11"/>
        <v>3680</v>
      </c>
      <c r="J7" s="160">
        <f t="shared" si="7"/>
        <v>0</v>
      </c>
      <c r="K7" s="160">
        <f t="shared" si="8"/>
        <v>320</v>
      </c>
      <c r="L7" s="159">
        <f t="shared" si="9"/>
        <v>0.9</v>
      </c>
      <c r="M7" s="159">
        <v>0.02</v>
      </c>
      <c r="N7" s="159">
        <v>0.08</v>
      </c>
      <c r="O7" s="159">
        <f t="shared" si="10"/>
        <v>0.98</v>
      </c>
      <c r="P7" s="161">
        <v>0.02</v>
      </c>
      <c r="Q7" s="159">
        <v>0</v>
      </c>
      <c r="R7" s="159">
        <f t="shared" si="12"/>
        <v>0.92</v>
      </c>
      <c r="S7" s="159">
        <v>0</v>
      </c>
      <c r="T7" s="159">
        <v>0.08</v>
      </c>
    </row>
    <row r="8" spans="1:20" x14ac:dyDescent="0.15">
      <c r="A8" s="76">
        <v>6</v>
      </c>
      <c r="B8" s="62">
        <v>5000</v>
      </c>
      <c r="C8" s="160">
        <f t="shared" si="0"/>
        <v>4375</v>
      </c>
      <c r="D8" s="160">
        <f t="shared" si="1"/>
        <v>125</v>
      </c>
      <c r="E8" s="160">
        <f t="shared" si="2"/>
        <v>500</v>
      </c>
      <c r="F8" s="160">
        <f t="shared" si="3"/>
        <v>4875</v>
      </c>
      <c r="G8" s="160">
        <f t="shared" si="4"/>
        <v>125</v>
      </c>
      <c r="H8" s="160">
        <f t="shared" si="5"/>
        <v>0</v>
      </c>
      <c r="I8" s="160">
        <f t="shared" si="11"/>
        <v>4500</v>
      </c>
      <c r="J8" s="160">
        <f t="shared" si="7"/>
        <v>0</v>
      </c>
      <c r="K8" s="160">
        <f t="shared" si="8"/>
        <v>500</v>
      </c>
      <c r="L8" s="159">
        <f t="shared" si="9"/>
        <v>0.875</v>
      </c>
      <c r="M8" s="159">
        <v>2.5000000000000001E-2</v>
      </c>
      <c r="N8" s="159">
        <v>0.1</v>
      </c>
      <c r="O8" s="159">
        <f t="shared" si="10"/>
        <v>0.97499999999999998</v>
      </c>
      <c r="P8" s="161">
        <v>2.5000000000000001E-2</v>
      </c>
      <c r="Q8" s="159">
        <v>0</v>
      </c>
      <c r="R8" s="159">
        <f t="shared" si="12"/>
        <v>0.9</v>
      </c>
      <c r="S8" s="159">
        <v>0</v>
      </c>
      <c r="T8" s="159">
        <v>0.1</v>
      </c>
    </row>
    <row r="9" spans="1:20" x14ac:dyDescent="0.15">
      <c r="A9" s="76">
        <v>7</v>
      </c>
      <c r="B9" s="62">
        <v>7500</v>
      </c>
      <c r="C9" s="160">
        <f t="shared" si="0"/>
        <v>6375</v>
      </c>
      <c r="D9" s="160">
        <f t="shared" si="1"/>
        <v>225</v>
      </c>
      <c r="E9" s="160">
        <f t="shared" si="2"/>
        <v>900</v>
      </c>
      <c r="F9" s="160">
        <f t="shared" si="3"/>
        <v>7275</v>
      </c>
      <c r="G9" s="160">
        <f t="shared" si="4"/>
        <v>225</v>
      </c>
      <c r="H9" s="160">
        <f t="shared" si="5"/>
        <v>0</v>
      </c>
      <c r="I9" s="160">
        <f t="shared" si="11"/>
        <v>6600</v>
      </c>
      <c r="J9" s="160">
        <f t="shared" si="7"/>
        <v>0</v>
      </c>
      <c r="K9" s="160">
        <f t="shared" si="8"/>
        <v>900</v>
      </c>
      <c r="L9" s="159">
        <f t="shared" si="9"/>
        <v>0.85</v>
      </c>
      <c r="M9" s="159">
        <v>0.03</v>
      </c>
      <c r="N9" s="159">
        <v>0.12</v>
      </c>
      <c r="O9" s="159">
        <f t="shared" si="10"/>
        <v>0.97</v>
      </c>
      <c r="P9" s="161">
        <v>0.03</v>
      </c>
      <c r="Q9" s="159">
        <v>0</v>
      </c>
      <c r="R9" s="159">
        <f t="shared" si="12"/>
        <v>0.88</v>
      </c>
      <c r="S9" s="159">
        <v>0</v>
      </c>
      <c r="T9" s="159">
        <v>0.12</v>
      </c>
    </row>
    <row r="10" spans="1:20" x14ac:dyDescent="0.15">
      <c r="A10" s="76">
        <v>8</v>
      </c>
      <c r="B10" s="62">
        <v>10333.333333333334</v>
      </c>
      <c r="C10" s="160">
        <f t="shared" si="0"/>
        <v>8525</v>
      </c>
      <c r="D10" s="160">
        <f t="shared" si="1"/>
        <v>361.66666666666674</v>
      </c>
      <c r="E10" s="160">
        <f t="shared" si="2"/>
        <v>1446.666666666667</v>
      </c>
      <c r="F10" s="160">
        <f t="shared" si="3"/>
        <v>9971.6666666666661</v>
      </c>
      <c r="G10" s="160">
        <f t="shared" si="4"/>
        <v>361.66666666666674</v>
      </c>
      <c r="H10" s="160">
        <f t="shared" si="5"/>
        <v>0</v>
      </c>
      <c r="I10" s="160">
        <f t="shared" si="11"/>
        <v>8886.6666666666679</v>
      </c>
      <c r="J10" s="160">
        <f t="shared" si="7"/>
        <v>0</v>
      </c>
      <c r="K10" s="160">
        <f t="shared" si="8"/>
        <v>1446.666666666667</v>
      </c>
      <c r="L10" s="159">
        <f t="shared" si="9"/>
        <v>0.82499999999999996</v>
      </c>
      <c r="M10" s="159">
        <v>3.5000000000000003E-2</v>
      </c>
      <c r="N10" s="159">
        <v>0.14000000000000001</v>
      </c>
      <c r="O10" s="159">
        <f t="shared" si="10"/>
        <v>0.96499999999999997</v>
      </c>
      <c r="P10" s="161">
        <v>3.5000000000000003E-2</v>
      </c>
      <c r="Q10" s="159">
        <v>0</v>
      </c>
      <c r="R10" s="159">
        <f t="shared" si="12"/>
        <v>0.86</v>
      </c>
      <c r="S10" s="159">
        <v>0</v>
      </c>
      <c r="T10" s="159">
        <v>0.14000000000000001</v>
      </c>
    </row>
    <row r="11" spans="1:20" x14ac:dyDescent="0.15">
      <c r="A11" s="76">
        <v>9</v>
      </c>
      <c r="B11" s="62">
        <v>14333.333333333334</v>
      </c>
      <c r="C11" s="160">
        <f t="shared" si="0"/>
        <v>11466.666666666666</v>
      </c>
      <c r="D11" s="160">
        <f t="shared" si="1"/>
        <v>573.33333333333337</v>
      </c>
      <c r="E11" s="160">
        <f t="shared" si="2"/>
        <v>2293.3333333333335</v>
      </c>
      <c r="F11" s="160">
        <f t="shared" si="3"/>
        <v>13760</v>
      </c>
      <c r="G11" s="160">
        <f t="shared" si="4"/>
        <v>573.33333333333337</v>
      </c>
      <c r="H11" s="160">
        <f t="shared" si="5"/>
        <v>0</v>
      </c>
      <c r="I11" s="160">
        <f t="shared" si="11"/>
        <v>12040</v>
      </c>
      <c r="J11" s="160">
        <f t="shared" si="7"/>
        <v>0</v>
      </c>
      <c r="K11" s="160">
        <f t="shared" si="8"/>
        <v>2293.3333333333335</v>
      </c>
      <c r="L11" s="159">
        <f t="shared" si="9"/>
        <v>0.79999999999999993</v>
      </c>
      <c r="M11" s="159">
        <v>0.04</v>
      </c>
      <c r="N11" s="159">
        <v>0.16</v>
      </c>
      <c r="O11" s="159">
        <f t="shared" si="10"/>
        <v>0.96</v>
      </c>
      <c r="P11" s="161">
        <v>0.04</v>
      </c>
      <c r="Q11" s="159">
        <v>0</v>
      </c>
      <c r="R11" s="159">
        <f t="shared" si="12"/>
        <v>0.84</v>
      </c>
      <c r="S11" s="159">
        <v>0</v>
      </c>
      <c r="T11" s="159">
        <v>0.16</v>
      </c>
    </row>
    <row r="12" spans="1:20" x14ac:dyDescent="0.15">
      <c r="A12" s="76">
        <v>10</v>
      </c>
      <c r="B12" s="62">
        <v>20000</v>
      </c>
      <c r="C12" s="160">
        <f t="shared" si="0"/>
        <v>15499.999999999998</v>
      </c>
      <c r="D12" s="160">
        <f t="shared" si="1"/>
        <v>900</v>
      </c>
      <c r="E12" s="160">
        <f t="shared" si="2"/>
        <v>3600</v>
      </c>
      <c r="F12" s="160">
        <f t="shared" si="3"/>
        <v>19100</v>
      </c>
      <c r="G12" s="160">
        <f t="shared" si="4"/>
        <v>900</v>
      </c>
      <c r="H12" s="160">
        <f t="shared" si="5"/>
        <v>0</v>
      </c>
      <c r="I12" s="160">
        <f t="shared" si="11"/>
        <v>16400</v>
      </c>
      <c r="J12" s="160">
        <f t="shared" si="7"/>
        <v>0</v>
      </c>
      <c r="K12" s="160">
        <f t="shared" si="8"/>
        <v>3600</v>
      </c>
      <c r="L12" s="159">
        <f t="shared" si="9"/>
        <v>0.77499999999999991</v>
      </c>
      <c r="M12" s="159">
        <v>4.4999999999999998E-2</v>
      </c>
      <c r="N12" s="159">
        <v>0.18</v>
      </c>
      <c r="O12" s="159">
        <f t="shared" si="10"/>
        <v>0.95499999999999996</v>
      </c>
      <c r="P12" s="161">
        <v>4.4999999999999998E-2</v>
      </c>
      <c r="Q12" s="159">
        <v>0</v>
      </c>
      <c r="R12" s="159">
        <f t="shared" si="12"/>
        <v>0.82000000000000006</v>
      </c>
      <c r="S12" s="159">
        <v>0</v>
      </c>
      <c r="T12" s="159">
        <v>0.18</v>
      </c>
    </row>
    <row r="13" spans="1:20" x14ac:dyDescent="0.15">
      <c r="A13" s="76">
        <v>11</v>
      </c>
      <c r="B13" s="62">
        <v>27666.666666666668</v>
      </c>
      <c r="C13" s="160">
        <f t="shared" si="0"/>
        <v>20750</v>
      </c>
      <c r="D13" s="160">
        <f t="shared" si="1"/>
        <v>1383.3333333333335</v>
      </c>
      <c r="E13" s="160">
        <f t="shared" si="2"/>
        <v>5533.3333333333339</v>
      </c>
      <c r="F13" s="160">
        <f t="shared" si="3"/>
        <v>26283.333333333332</v>
      </c>
      <c r="G13" s="160">
        <f t="shared" si="4"/>
        <v>1383.3333333333335</v>
      </c>
      <c r="H13" s="160">
        <f t="shared" si="5"/>
        <v>0</v>
      </c>
      <c r="I13" s="160">
        <f t="shared" si="11"/>
        <v>22133.333333333336</v>
      </c>
      <c r="J13" s="160">
        <f t="shared" si="7"/>
        <v>0</v>
      </c>
      <c r="K13" s="160">
        <f t="shared" si="8"/>
        <v>5533.3333333333339</v>
      </c>
      <c r="L13" s="159">
        <f t="shared" si="9"/>
        <v>0.75</v>
      </c>
      <c r="M13" s="159">
        <v>0.05</v>
      </c>
      <c r="N13" s="159">
        <v>0.2</v>
      </c>
      <c r="O13" s="159">
        <f t="shared" si="10"/>
        <v>0.95</v>
      </c>
      <c r="P13" s="161">
        <v>0.05</v>
      </c>
      <c r="Q13" s="159">
        <v>0</v>
      </c>
      <c r="R13" s="159">
        <f t="shared" si="12"/>
        <v>0.8</v>
      </c>
      <c r="S13" s="159">
        <v>0</v>
      </c>
      <c r="T13" s="159">
        <v>0.2</v>
      </c>
    </row>
    <row r="14" spans="1:20" x14ac:dyDescent="0.15">
      <c r="A14" s="76">
        <v>12</v>
      </c>
      <c r="B14" s="62">
        <v>38333.333333333336</v>
      </c>
      <c r="C14" s="160">
        <f t="shared" si="0"/>
        <v>27791.666666666668</v>
      </c>
      <c r="D14" s="160">
        <f t="shared" si="1"/>
        <v>2108.3333333333335</v>
      </c>
      <c r="E14" s="160">
        <f t="shared" si="2"/>
        <v>8433.3333333333339</v>
      </c>
      <c r="F14" s="160">
        <f t="shared" si="3"/>
        <v>36225</v>
      </c>
      <c r="G14" s="160">
        <f t="shared" si="4"/>
        <v>2108.3333333333335</v>
      </c>
      <c r="H14" s="160">
        <f t="shared" si="5"/>
        <v>0</v>
      </c>
      <c r="I14" s="160">
        <f t="shared" si="11"/>
        <v>29900.000000000004</v>
      </c>
      <c r="J14" s="160">
        <f t="shared" si="7"/>
        <v>0</v>
      </c>
      <c r="K14" s="160">
        <f t="shared" si="8"/>
        <v>8433.3333333333339</v>
      </c>
      <c r="L14" s="159">
        <f t="shared" si="9"/>
        <v>0.72499999999999998</v>
      </c>
      <c r="M14" s="159">
        <v>5.5E-2</v>
      </c>
      <c r="N14" s="159">
        <v>0.22</v>
      </c>
      <c r="O14" s="159">
        <f t="shared" si="10"/>
        <v>0.94499999999999995</v>
      </c>
      <c r="P14" s="161">
        <v>5.5E-2</v>
      </c>
      <c r="Q14" s="159">
        <v>0</v>
      </c>
      <c r="R14" s="159">
        <f t="shared" si="12"/>
        <v>0.78</v>
      </c>
      <c r="S14" s="159">
        <v>0</v>
      </c>
      <c r="T14" s="159">
        <v>0.22</v>
      </c>
    </row>
    <row r="15" spans="1:20" x14ac:dyDescent="0.15">
      <c r="A15" s="76">
        <v>13</v>
      </c>
      <c r="B15" s="62">
        <v>54000</v>
      </c>
      <c r="C15" s="160">
        <f t="shared" si="0"/>
        <v>37800</v>
      </c>
      <c r="D15" s="160">
        <f t="shared" si="1"/>
        <v>3240</v>
      </c>
      <c r="E15" s="160">
        <f t="shared" si="2"/>
        <v>12960</v>
      </c>
      <c r="F15" s="160">
        <f t="shared" si="3"/>
        <v>50760</v>
      </c>
      <c r="G15" s="160">
        <f t="shared" si="4"/>
        <v>3240</v>
      </c>
      <c r="H15" s="160">
        <f t="shared" si="5"/>
        <v>0</v>
      </c>
      <c r="I15" s="160">
        <f t="shared" si="11"/>
        <v>41040</v>
      </c>
      <c r="J15" s="160">
        <f t="shared" si="7"/>
        <v>0</v>
      </c>
      <c r="K15" s="160">
        <f t="shared" si="8"/>
        <v>12960</v>
      </c>
      <c r="L15" s="159">
        <f t="shared" si="9"/>
        <v>0.7</v>
      </c>
      <c r="M15" s="159">
        <v>0.06</v>
      </c>
      <c r="N15" s="159">
        <v>0.24</v>
      </c>
      <c r="O15" s="159">
        <f t="shared" si="10"/>
        <v>0.94</v>
      </c>
      <c r="P15" s="161">
        <v>0.06</v>
      </c>
      <c r="Q15" s="159">
        <v>0</v>
      </c>
      <c r="R15" s="159">
        <f t="shared" si="12"/>
        <v>0.76</v>
      </c>
      <c r="S15" s="159">
        <v>0</v>
      </c>
      <c r="T15" s="159">
        <v>0.24</v>
      </c>
    </row>
    <row r="16" spans="1:20" x14ac:dyDescent="0.15">
      <c r="A16" s="76">
        <v>14</v>
      </c>
      <c r="B16" s="62">
        <v>75000</v>
      </c>
      <c r="C16" s="160">
        <f t="shared" si="0"/>
        <v>50625</v>
      </c>
      <c r="D16" s="160">
        <f t="shared" si="1"/>
        <v>4875</v>
      </c>
      <c r="E16" s="160">
        <f t="shared" si="2"/>
        <v>19500</v>
      </c>
      <c r="F16" s="160">
        <f t="shared" si="3"/>
        <v>70125</v>
      </c>
      <c r="G16" s="160">
        <f t="shared" si="4"/>
        <v>4875</v>
      </c>
      <c r="H16" s="160">
        <f t="shared" si="5"/>
        <v>0</v>
      </c>
      <c r="I16" s="160">
        <f t="shared" si="11"/>
        <v>55500</v>
      </c>
      <c r="J16" s="160">
        <f t="shared" si="7"/>
        <v>0</v>
      </c>
      <c r="K16" s="160">
        <f t="shared" si="8"/>
        <v>19500</v>
      </c>
      <c r="L16" s="159">
        <f t="shared" si="9"/>
        <v>0.67500000000000004</v>
      </c>
      <c r="M16" s="159">
        <v>6.5000000000000002E-2</v>
      </c>
      <c r="N16" s="159">
        <v>0.26</v>
      </c>
      <c r="O16" s="159">
        <f t="shared" si="10"/>
        <v>0.93500000000000005</v>
      </c>
      <c r="P16" s="161">
        <v>6.5000000000000002E-2</v>
      </c>
      <c r="Q16" s="159">
        <v>0</v>
      </c>
      <c r="R16" s="159">
        <f t="shared" si="12"/>
        <v>0.74</v>
      </c>
      <c r="S16" s="159">
        <v>0</v>
      </c>
      <c r="T16" s="159">
        <v>0.26</v>
      </c>
    </row>
    <row r="17" spans="1:20" x14ac:dyDescent="0.15">
      <c r="A17" s="76">
        <v>15</v>
      </c>
      <c r="B17" s="62">
        <v>104000</v>
      </c>
      <c r="C17" s="160">
        <f t="shared" si="0"/>
        <v>67599.999999999985</v>
      </c>
      <c r="D17" s="160">
        <f t="shared" si="1"/>
        <v>7280.0000000000009</v>
      </c>
      <c r="E17" s="160">
        <f t="shared" si="2"/>
        <v>29120.000000000004</v>
      </c>
      <c r="F17" s="160">
        <f t="shared" si="3"/>
        <v>96720</v>
      </c>
      <c r="G17" s="160">
        <f t="shared" si="4"/>
        <v>7280.0000000000009</v>
      </c>
      <c r="H17" s="160">
        <f t="shared" si="5"/>
        <v>0</v>
      </c>
      <c r="I17" s="160">
        <f t="shared" si="11"/>
        <v>74880</v>
      </c>
      <c r="J17" s="160">
        <f t="shared" si="7"/>
        <v>0</v>
      </c>
      <c r="K17" s="160">
        <f t="shared" si="8"/>
        <v>29120.000000000004</v>
      </c>
      <c r="L17" s="159">
        <f t="shared" si="9"/>
        <v>0.64999999999999991</v>
      </c>
      <c r="M17" s="159">
        <v>7.0000000000000007E-2</v>
      </c>
      <c r="N17" s="159">
        <v>0.28000000000000003</v>
      </c>
      <c r="O17" s="159">
        <f t="shared" si="10"/>
        <v>0.92999999999999994</v>
      </c>
      <c r="P17" s="161">
        <v>7.0000000000000007E-2</v>
      </c>
      <c r="Q17" s="159">
        <v>0</v>
      </c>
      <c r="R17" s="159">
        <f t="shared" si="12"/>
        <v>0.72</v>
      </c>
      <c r="S17" s="159">
        <v>0</v>
      </c>
      <c r="T17" s="159">
        <v>0.28000000000000003</v>
      </c>
    </row>
    <row r="18" spans="1:20" x14ac:dyDescent="0.15">
      <c r="A18" s="76">
        <v>16</v>
      </c>
      <c r="B18" s="62">
        <v>147000</v>
      </c>
      <c r="C18" s="160">
        <f t="shared" si="0"/>
        <v>91875</v>
      </c>
      <c r="D18" s="160">
        <f t="shared" si="1"/>
        <v>11025</v>
      </c>
      <c r="E18" s="160">
        <f t="shared" si="2"/>
        <v>44100</v>
      </c>
      <c r="F18" s="160">
        <f t="shared" si="3"/>
        <v>135975</v>
      </c>
      <c r="G18" s="160">
        <f t="shared" si="4"/>
        <v>11025</v>
      </c>
      <c r="H18" s="160">
        <f t="shared" si="5"/>
        <v>0</v>
      </c>
      <c r="I18" s="160">
        <f t="shared" si="11"/>
        <v>102900</v>
      </c>
      <c r="J18" s="160">
        <f t="shared" si="7"/>
        <v>0</v>
      </c>
      <c r="K18" s="160">
        <f t="shared" si="8"/>
        <v>44100</v>
      </c>
      <c r="L18" s="159">
        <f t="shared" si="9"/>
        <v>0.625</v>
      </c>
      <c r="M18" s="159">
        <v>7.4999999999999997E-2</v>
      </c>
      <c r="N18" s="159">
        <v>0.3</v>
      </c>
      <c r="O18" s="159">
        <f t="shared" si="10"/>
        <v>0.92500000000000004</v>
      </c>
      <c r="P18" s="161">
        <v>7.4999999999999997E-2</v>
      </c>
      <c r="Q18" s="159">
        <v>0</v>
      </c>
      <c r="R18" s="159">
        <f t="shared" si="12"/>
        <v>0.7</v>
      </c>
      <c r="S18" s="159">
        <v>0</v>
      </c>
      <c r="T18" s="159">
        <v>0.3</v>
      </c>
    </row>
    <row r="19" spans="1:20" x14ac:dyDescent="0.15">
      <c r="A19" s="76">
        <v>17</v>
      </c>
      <c r="B19" s="62">
        <v>204000</v>
      </c>
      <c r="C19" s="160">
        <f t="shared" si="0"/>
        <v>122400.00000000001</v>
      </c>
      <c r="D19" s="160">
        <f t="shared" si="1"/>
        <v>16320</v>
      </c>
      <c r="E19" s="160">
        <f t="shared" si="2"/>
        <v>65280</v>
      </c>
      <c r="F19" s="160">
        <f t="shared" si="3"/>
        <v>187680</v>
      </c>
      <c r="G19" s="160">
        <f t="shared" si="4"/>
        <v>16320</v>
      </c>
      <c r="H19" s="160">
        <f t="shared" si="5"/>
        <v>0</v>
      </c>
      <c r="I19" s="160">
        <f t="shared" si="11"/>
        <v>138720</v>
      </c>
      <c r="J19" s="160">
        <f t="shared" si="7"/>
        <v>0</v>
      </c>
      <c r="K19" s="160">
        <f t="shared" si="8"/>
        <v>65280</v>
      </c>
      <c r="L19" s="159">
        <f t="shared" si="9"/>
        <v>0.60000000000000009</v>
      </c>
      <c r="M19" s="159">
        <v>0.08</v>
      </c>
      <c r="N19" s="159">
        <v>0.32</v>
      </c>
      <c r="O19" s="159">
        <f t="shared" si="10"/>
        <v>0.92</v>
      </c>
      <c r="P19" s="161">
        <v>0.08</v>
      </c>
      <c r="Q19" s="159">
        <v>0</v>
      </c>
      <c r="R19" s="159">
        <f t="shared" si="12"/>
        <v>0.67999999999999994</v>
      </c>
      <c r="S19" s="159">
        <v>0</v>
      </c>
      <c r="T19" s="159">
        <v>0.32</v>
      </c>
    </row>
    <row r="20" spans="1:20" x14ac:dyDescent="0.15">
      <c r="A20" s="76">
        <v>18</v>
      </c>
      <c r="B20" s="62">
        <v>265000</v>
      </c>
      <c r="C20" s="160">
        <f t="shared" si="0"/>
        <v>152375</v>
      </c>
      <c r="D20" s="160">
        <f t="shared" si="1"/>
        <v>22525</v>
      </c>
      <c r="E20" s="160">
        <f t="shared" si="2"/>
        <v>90100</v>
      </c>
      <c r="F20" s="160">
        <f t="shared" si="3"/>
        <v>242475</v>
      </c>
      <c r="G20" s="160">
        <f t="shared" si="4"/>
        <v>22525</v>
      </c>
      <c r="H20" s="160">
        <f t="shared" si="5"/>
        <v>0</v>
      </c>
      <c r="I20" s="160">
        <f t="shared" si="11"/>
        <v>174899.99999999997</v>
      </c>
      <c r="J20" s="160">
        <f t="shared" si="7"/>
        <v>0</v>
      </c>
      <c r="K20" s="160">
        <f t="shared" si="8"/>
        <v>90100</v>
      </c>
      <c r="L20" s="159">
        <f t="shared" si="9"/>
        <v>0.57499999999999996</v>
      </c>
      <c r="M20" s="159">
        <v>8.5000000000000006E-2</v>
      </c>
      <c r="N20" s="159">
        <v>0.34</v>
      </c>
      <c r="O20" s="159">
        <f t="shared" si="10"/>
        <v>0.91500000000000004</v>
      </c>
      <c r="P20" s="161">
        <v>8.5000000000000006E-2</v>
      </c>
      <c r="Q20" s="159">
        <v>0</v>
      </c>
      <c r="R20" s="159">
        <f t="shared" si="12"/>
        <v>0.65999999999999992</v>
      </c>
      <c r="S20" s="159">
        <v>0</v>
      </c>
      <c r="T20" s="159">
        <v>0.34</v>
      </c>
    </row>
    <row r="21" spans="1:20" x14ac:dyDescent="0.15">
      <c r="A21" s="76">
        <v>19</v>
      </c>
      <c r="B21" s="62">
        <v>400000</v>
      </c>
      <c r="C21" s="160">
        <f t="shared" si="0"/>
        <v>220000.00000000003</v>
      </c>
      <c r="D21" s="160">
        <f t="shared" si="1"/>
        <v>36000</v>
      </c>
      <c r="E21" s="160">
        <f t="shared" si="2"/>
        <v>144000</v>
      </c>
      <c r="F21" s="160">
        <f t="shared" si="3"/>
        <v>364000</v>
      </c>
      <c r="G21" s="160">
        <f t="shared" si="4"/>
        <v>36000</v>
      </c>
      <c r="H21" s="160">
        <f t="shared" si="5"/>
        <v>0</v>
      </c>
      <c r="I21" s="160">
        <f t="shared" si="11"/>
        <v>256000</v>
      </c>
      <c r="J21" s="160">
        <f t="shared" si="7"/>
        <v>0</v>
      </c>
      <c r="K21" s="160">
        <f t="shared" si="8"/>
        <v>144000</v>
      </c>
      <c r="L21" s="159">
        <f t="shared" si="9"/>
        <v>0.55000000000000004</v>
      </c>
      <c r="M21" s="159">
        <v>0.09</v>
      </c>
      <c r="N21" s="159">
        <v>0.36</v>
      </c>
      <c r="O21" s="159">
        <f t="shared" si="10"/>
        <v>0.91</v>
      </c>
      <c r="P21" s="161">
        <v>0.09</v>
      </c>
      <c r="Q21" s="159">
        <v>0</v>
      </c>
      <c r="R21" s="159">
        <f t="shared" si="12"/>
        <v>0.64</v>
      </c>
      <c r="S21" s="159">
        <v>0</v>
      </c>
      <c r="T21" s="159">
        <v>0.36</v>
      </c>
    </row>
    <row r="22" spans="1:20" x14ac:dyDescent="0.15">
      <c r="A22" s="76">
        <v>20</v>
      </c>
      <c r="B22" s="62">
        <v>555000</v>
      </c>
      <c r="C22" s="160">
        <f t="shared" si="0"/>
        <v>291375</v>
      </c>
      <c r="D22" s="160">
        <f t="shared" si="1"/>
        <v>52725</v>
      </c>
      <c r="E22" s="160">
        <f t="shared" si="2"/>
        <v>210900</v>
      </c>
      <c r="F22" s="160">
        <f t="shared" si="3"/>
        <v>502275</v>
      </c>
      <c r="G22" s="160">
        <f t="shared" si="4"/>
        <v>52725</v>
      </c>
      <c r="H22" s="160">
        <f t="shared" si="5"/>
        <v>0</v>
      </c>
      <c r="I22" s="160">
        <f t="shared" si="11"/>
        <v>344100</v>
      </c>
      <c r="J22" s="160">
        <f t="shared" si="7"/>
        <v>0</v>
      </c>
      <c r="K22" s="160">
        <f t="shared" si="8"/>
        <v>210900</v>
      </c>
      <c r="L22" s="159">
        <f t="shared" si="9"/>
        <v>0.52500000000000002</v>
      </c>
      <c r="M22" s="159">
        <v>9.5000000000000001E-2</v>
      </c>
      <c r="N22" s="159">
        <v>0.38</v>
      </c>
      <c r="O22" s="159">
        <f t="shared" si="10"/>
        <v>0.90500000000000003</v>
      </c>
      <c r="P22" s="161">
        <v>9.5000000000000001E-2</v>
      </c>
      <c r="Q22" s="159">
        <v>0</v>
      </c>
      <c r="R22" s="159">
        <f t="shared" si="12"/>
        <v>0.62</v>
      </c>
      <c r="S22" s="159">
        <v>0</v>
      </c>
      <c r="T22" s="159">
        <v>0.38</v>
      </c>
    </row>
    <row r="23" spans="1:20" x14ac:dyDescent="0.15">
      <c r="A23" s="76">
        <v>21</v>
      </c>
      <c r="B23" s="62">
        <v>770000</v>
      </c>
      <c r="C23" s="160">
        <f t="shared" si="0"/>
        <v>385000</v>
      </c>
      <c r="D23" s="160">
        <f t="shared" si="1"/>
        <v>77000</v>
      </c>
      <c r="E23" s="160">
        <f t="shared" si="2"/>
        <v>308000</v>
      </c>
      <c r="F23" s="160">
        <f t="shared" si="3"/>
        <v>693000</v>
      </c>
      <c r="G23" s="160">
        <f t="shared" si="4"/>
        <v>77000</v>
      </c>
      <c r="H23" s="160">
        <f t="shared" si="5"/>
        <v>0</v>
      </c>
      <c r="I23" s="160">
        <f t="shared" si="11"/>
        <v>462000</v>
      </c>
      <c r="J23" s="160">
        <f t="shared" si="7"/>
        <v>0</v>
      </c>
      <c r="K23" s="160">
        <f t="shared" si="8"/>
        <v>308000</v>
      </c>
      <c r="L23" s="159">
        <f t="shared" si="9"/>
        <v>0.5</v>
      </c>
      <c r="M23" s="159">
        <v>0.1</v>
      </c>
      <c r="N23" s="159">
        <v>0.4</v>
      </c>
      <c r="O23" s="159">
        <f t="shared" si="10"/>
        <v>0.9</v>
      </c>
      <c r="P23" s="161">
        <v>0.1</v>
      </c>
      <c r="Q23" s="159">
        <v>0</v>
      </c>
      <c r="R23" s="159">
        <f t="shared" si="12"/>
        <v>0.6</v>
      </c>
      <c r="S23" s="159">
        <v>0</v>
      </c>
      <c r="T23" s="159">
        <v>0.4</v>
      </c>
    </row>
    <row r="24" spans="1:20" x14ac:dyDescent="0.15">
      <c r="A24" s="76">
        <v>22</v>
      </c>
      <c r="B24" s="62">
        <v>1100000</v>
      </c>
      <c r="C24" s="160">
        <f t="shared" si="0"/>
        <v>522500.00000000006</v>
      </c>
      <c r="D24" s="160">
        <f t="shared" si="1"/>
        <v>115500</v>
      </c>
      <c r="E24" s="160">
        <f t="shared" si="2"/>
        <v>462000</v>
      </c>
      <c r="F24" s="160">
        <f t="shared" si="3"/>
        <v>984500</v>
      </c>
      <c r="G24" s="160">
        <f t="shared" si="4"/>
        <v>115500</v>
      </c>
      <c r="H24" s="160">
        <f t="shared" si="5"/>
        <v>0</v>
      </c>
      <c r="I24" s="160">
        <f t="shared" si="11"/>
        <v>638000.00000000012</v>
      </c>
      <c r="J24" s="160">
        <f t="shared" si="7"/>
        <v>0</v>
      </c>
      <c r="K24" s="160">
        <f t="shared" si="8"/>
        <v>462000</v>
      </c>
      <c r="L24" s="159">
        <f t="shared" si="9"/>
        <v>0.47500000000000003</v>
      </c>
      <c r="M24" s="159">
        <v>0.105</v>
      </c>
      <c r="N24" s="159">
        <v>0.42</v>
      </c>
      <c r="O24" s="159">
        <f t="shared" si="10"/>
        <v>0.89500000000000002</v>
      </c>
      <c r="P24" s="161">
        <v>0.105</v>
      </c>
      <c r="Q24" s="159">
        <v>0</v>
      </c>
      <c r="R24" s="159">
        <f t="shared" si="12"/>
        <v>0.58000000000000007</v>
      </c>
      <c r="S24" s="159">
        <v>0</v>
      </c>
      <c r="T24" s="159">
        <v>0.42</v>
      </c>
    </row>
    <row r="25" spans="1:20" x14ac:dyDescent="0.15">
      <c r="A25" s="76">
        <v>23</v>
      </c>
      <c r="B25" s="62">
        <v>1500000</v>
      </c>
      <c r="C25" s="160">
        <f t="shared" si="0"/>
        <v>675000</v>
      </c>
      <c r="D25" s="160">
        <f t="shared" si="1"/>
        <v>165000</v>
      </c>
      <c r="E25" s="160">
        <f t="shared" si="2"/>
        <v>660000</v>
      </c>
      <c r="F25" s="160">
        <f t="shared" si="3"/>
        <v>1335000</v>
      </c>
      <c r="G25" s="160">
        <f t="shared" si="4"/>
        <v>165000</v>
      </c>
      <c r="H25" s="160">
        <f t="shared" si="5"/>
        <v>0</v>
      </c>
      <c r="I25" s="160">
        <f t="shared" si="11"/>
        <v>840000.00000000012</v>
      </c>
      <c r="J25" s="160">
        <f t="shared" si="7"/>
        <v>0</v>
      </c>
      <c r="K25" s="160">
        <f t="shared" si="8"/>
        <v>660000</v>
      </c>
      <c r="L25" s="159">
        <f t="shared" si="9"/>
        <v>0.45</v>
      </c>
      <c r="M25" s="159">
        <v>0.11</v>
      </c>
      <c r="N25" s="159">
        <v>0.44</v>
      </c>
      <c r="O25" s="159">
        <f t="shared" si="10"/>
        <v>0.89</v>
      </c>
      <c r="P25" s="161">
        <v>0.11</v>
      </c>
      <c r="Q25" s="159">
        <v>0</v>
      </c>
      <c r="R25" s="159">
        <f t="shared" si="12"/>
        <v>0.56000000000000005</v>
      </c>
      <c r="S25" s="159">
        <v>0</v>
      </c>
      <c r="T25" s="159">
        <v>0.44</v>
      </c>
    </row>
    <row r="26" spans="1:20" x14ac:dyDescent="0.15">
      <c r="A26" s="76">
        <v>24</v>
      </c>
      <c r="B26" s="62">
        <v>2160000</v>
      </c>
      <c r="C26" s="160">
        <f t="shared" si="0"/>
        <v>918000</v>
      </c>
      <c r="D26" s="160">
        <f t="shared" si="1"/>
        <v>248400</v>
      </c>
      <c r="E26" s="160">
        <f t="shared" si="2"/>
        <v>993600</v>
      </c>
      <c r="F26" s="160">
        <f t="shared" si="3"/>
        <v>1911600</v>
      </c>
      <c r="G26" s="160">
        <f t="shared" si="4"/>
        <v>248400</v>
      </c>
      <c r="H26" s="160">
        <f t="shared" si="5"/>
        <v>0</v>
      </c>
      <c r="I26" s="160">
        <f t="shared" si="11"/>
        <v>1166400</v>
      </c>
      <c r="J26" s="160">
        <f t="shared" si="7"/>
        <v>0</v>
      </c>
      <c r="K26" s="160">
        <f t="shared" si="8"/>
        <v>993600</v>
      </c>
      <c r="L26" s="159">
        <f t="shared" si="9"/>
        <v>0.42499999999999999</v>
      </c>
      <c r="M26" s="159">
        <v>0.115</v>
      </c>
      <c r="N26" s="159">
        <v>0.46</v>
      </c>
      <c r="O26" s="159">
        <f t="shared" si="10"/>
        <v>0.88500000000000001</v>
      </c>
      <c r="P26" s="161">
        <v>0.115</v>
      </c>
      <c r="Q26" s="159">
        <v>0</v>
      </c>
      <c r="R26" s="159">
        <f t="shared" si="12"/>
        <v>0.54</v>
      </c>
      <c r="S26" s="159">
        <v>0</v>
      </c>
      <c r="T26" s="159">
        <v>0.46</v>
      </c>
    </row>
    <row r="27" spans="1:20" x14ac:dyDescent="0.15">
      <c r="A27" s="76">
        <v>25</v>
      </c>
      <c r="B27" s="62">
        <v>3000000</v>
      </c>
      <c r="C27" s="160">
        <f t="shared" si="0"/>
        <v>1200000</v>
      </c>
      <c r="D27" s="160">
        <f t="shared" si="1"/>
        <v>360000</v>
      </c>
      <c r="E27" s="160">
        <f t="shared" si="2"/>
        <v>1440000</v>
      </c>
      <c r="F27" s="160">
        <f t="shared" si="3"/>
        <v>2640000</v>
      </c>
      <c r="G27" s="160">
        <f t="shared" si="4"/>
        <v>360000</v>
      </c>
      <c r="H27" s="160">
        <f t="shared" si="5"/>
        <v>0</v>
      </c>
      <c r="I27" s="160">
        <f t="shared" si="11"/>
        <v>1560000</v>
      </c>
      <c r="J27" s="160">
        <f t="shared" si="7"/>
        <v>0</v>
      </c>
      <c r="K27" s="160">
        <f t="shared" si="8"/>
        <v>1440000</v>
      </c>
      <c r="L27" s="159">
        <f t="shared" si="9"/>
        <v>0.4</v>
      </c>
      <c r="M27" s="159">
        <v>0.12</v>
      </c>
      <c r="N27" s="159">
        <v>0.48</v>
      </c>
      <c r="O27" s="159">
        <f t="shared" si="10"/>
        <v>0.88</v>
      </c>
      <c r="P27" s="161">
        <v>0.12</v>
      </c>
      <c r="Q27" s="159">
        <v>0</v>
      </c>
      <c r="R27" s="159">
        <f t="shared" si="12"/>
        <v>0.52</v>
      </c>
      <c r="S27" s="159">
        <v>0</v>
      </c>
      <c r="T27" s="159">
        <v>0.48</v>
      </c>
    </row>
  </sheetData>
  <mergeCells count="6">
    <mergeCell ref="R1:T1"/>
    <mergeCell ref="C1:E1"/>
    <mergeCell ref="F1:H1"/>
    <mergeCell ref="I1:K1"/>
    <mergeCell ref="L1:N1"/>
    <mergeCell ref="O1:Q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E21" sqref="E21"/>
    </sheetView>
  </sheetViews>
  <sheetFormatPr defaultRowHeight="16.5" x14ac:dyDescent="0.15"/>
  <cols>
    <col min="1" max="1" width="25.375" style="76" bestFit="1" customWidth="1"/>
    <col min="2" max="2" width="26" style="76" bestFit="1" customWidth="1"/>
    <col min="3" max="3" width="12.75" style="76" bestFit="1" customWidth="1"/>
    <col min="4" max="4" width="17.875" style="76" bestFit="1" customWidth="1"/>
    <col min="5" max="5" width="26" style="76" bestFit="1" customWidth="1"/>
    <col min="6" max="6" width="12.75" style="76" bestFit="1" customWidth="1"/>
    <col min="7" max="16384" width="9" style="76"/>
  </cols>
  <sheetData>
    <row r="1" spans="1:6" x14ac:dyDescent="0.25">
      <c r="A1" s="182" t="s">
        <v>535</v>
      </c>
      <c r="B1" s="182"/>
      <c r="D1" s="103" t="s">
        <v>589</v>
      </c>
      <c r="E1" s="104"/>
      <c r="F1" s="104"/>
    </row>
    <row r="2" spans="1:6" x14ac:dyDescent="0.25">
      <c r="A2" s="77" t="s">
        <v>524</v>
      </c>
      <c r="B2" s="77" t="s">
        <v>523</v>
      </c>
      <c r="D2" s="183" t="s">
        <v>590</v>
      </c>
      <c r="E2" s="183"/>
      <c r="F2" s="105" t="s">
        <v>591</v>
      </c>
    </row>
    <row r="3" spans="1:6" x14ac:dyDescent="0.25">
      <c r="A3" s="76" t="s">
        <v>525</v>
      </c>
      <c r="B3" s="78">
        <v>0.1</v>
      </c>
      <c r="D3" s="184" t="s">
        <v>592</v>
      </c>
      <c r="E3" s="106" t="s">
        <v>593</v>
      </c>
      <c r="F3" s="107">
        <v>0.3</v>
      </c>
    </row>
    <row r="4" spans="1:6" x14ac:dyDescent="0.25">
      <c r="A4" s="76" t="s">
        <v>526</v>
      </c>
      <c r="B4" s="78">
        <v>0.15</v>
      </c>
      <c r="D4" s="184"/>
      <c r="E4" s="106" t="s">
        <v>594</v>
      </c>
      <c r="F4" s="107">
        <v>0.1</v>
      </c>
    </row>
    <row r="5" spans="1:6" x14ac:dyDescent="0.25">
      <c r="A5" s="76" t="s">
        <v>533</v>
      </c>
      <c r="B5" s="78">
        <v>0.05</v>
      </c>
      <c r="D5" s="184"/>
      <c r="E5" s="106" t="s">
        <v>595</v>
      </c>
      <c r="F5" s="107">
        <v>0.05</v>
      </c>
    </row>
    <row r="6" spans="1:6" x14ac:dyDescent="0.25">
      <c r="A6" s="76" t="s">
        <v>603</v>
      </c>
      <c r="B6" s="78">
        <v>0.1</v>
      </c>
      <c r="D6" s="184"/>
      <c r="E6" s="106" t="s">
        <v>596</v>
      </c>
      <c r="F6" s="107">
        <v>0.1</v>
      </c>
    </row>
    <row r="7" spans="1:6" x14ac:dyDescent="0.25">
      <c r="A7" s="76" t="s">
        <v>528</v>
      </c>
      <c r="B7" s="78">
        <v>0.1</v>
      </c>
      <c r="D7" s="184"/>
      <c r="E7" s="106" t="s">
        <v>597</v>
      </c>
      <c r="F7" s="107">
        <v>0.05</v>
      </c>
    </row>
    <row r="8" spans="1:6" x14ac:dyDescent="0.25">
      <c r="A8" s="76" t="s">
        <v>529</v>
      </c>
      <c r="B8" s="78">
        <v>0.05</v>
      </c>
      <c r="D8" s="108" t="s">
        <v>598</v>
      </c>
      <c r="E8" s="106"/>
      <c r="F8" s="107">
        <v>0.3</v>
      </c>
    </row>
    <row r="9" spans="1:6" x14ac:dyDescent="0.25">
      <c r="A9" s="76" t="s">
        <v>534</v>
      </c>
      <c r="B9" s="78">
        <v>0.05</v>
      </c>
      <c r="D9" s="108" t="s">
        <v>599</v>
      </c>
      <c r="E9" s="106"/>
      <c r="F9" s="107">
        <v>0.1</v>
      </c>
    </row>
    <row r="10" spans="1:6" x14ac:dyDescent="0.25">
      <c r="A10" s="76" t="s">
        <v>527</v>
      </c>
      <c r="B10" s="78">
        <v>0.3</v>
      </c>
      <c r="D10" s="109" t="s">
        <v>600</v>
      </c>
      <c r="E10" s="110"/>
      <c r="F10" s="111">
        <f>SUM(F3:F9)</f>
        <v>1.0000000000000002</v>
      </c>
    </row>
    <row r="11" spans="1:6" x14ac:dyDescent="0.25">
      <c r="A11" s="76" t="s">
        <v>530</v>
      </c>
      <c r="B11" s="78">
        <v>0.1</v>
      </c>
      <c r="D11" s="112" t="s">
        <v>601</v>
      </c>
      <c r="E11" s="104"/>
      <c r="F11" s="113" t="s">
        <v>602</v>
      </c>
    </row>
    <row r="12" spans="1:6" x14ac:dyDescent="0.15">
      <c r="A12" s="79" t="s">
        <v>532</v>
      </c>
      <c r="B12" s="80">
        <f>SUM(B3:B11)</f>
        <v>1.0000000000000002</v>
      </c>
    </row>
    <row r="13" spans="1:6" x14ac:dyDescent="0.15">
      <c r="A13" s="76" t="s">
        <v>531</v>
      </c>
      <c r="B13" s="81" t="s">
        <v>536</v>
      </c>
    </row>
  </sheetData>
  <mergeCells count="3">
    <mergeCell ref="A1:B1"/>
    <mergeCell ref="D2:E2"/>
    <mergeCell ref="D3:D7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88"/>
  <sheetViews>
    <sheetView topLeftCell="A13" workbookViewId="0">
      <selection activeCell="H157" sqref="H157"/>
    </sheetView>
  </sheetViews>
  <sheetFormatPr defaultColWidth="9" defaultRowHeight="15.75" x14ac:dyDescent="0.15"/>
  <cols>
    <col min="1" max="1" width="3.625" style="3" customWidth="1"/>
    <col min="2" max="2" width="16.75" style="4" customWidth="1"/>
    <col min="3" max="3" width="10.875" style="19" customWidth="1"/>
    <col min="4" max="4" width="10.125" style="20" customWidth="1"/>
    <col min="5" max="5" width="10.625" style="6" customWidth="1"/>
    <col min="6" max="6" width="10.625" style="20" customWidth="1"/>
    <col min="7" max="9" width="10" style="3" bestFit="1" customWidth="1"/>
    <col min="10" max="10" width="10" style="20" bestFit="1" customWidth="1"/>
    <col min="11" max="11" width="9" style="6"/>
    <col min="12" max="12" width="9" style="20"/>
    <col min="13" max="16" width="9" style="3"/>
    <col min="17" max="17" width="9" style="20"/>
    <col min="18" max="19" width="15.625" style="4" hidden="1" customWidth="1"/>
    <col min="20" max="20" width="19.75" style="4" hidden="1" customWidth="1"/>
    <col min="21" max="21" width="15.625" style="24" hidden="1" customWidth="1"/>
    <col min="22" max="22" width="14.375" style="3" customWidth="1"/>
    <col min="23" max="23" width="15.25" style="20" customWidth="1"/>
    <col min="24" max="24" width="21.25" style="7" hidden="1" customWidth="1"/>
    <col min="25" max="25" width="10.25" style="20" hidden="1" customWidth="1"/>
    <col min="26" max="26" width="21.25" style="7" hidden="1" customWidth="1"/>
    <col min="27" max="27" width="10.25" style="20" hidden="1" customWidth="1"/>
    <col min="28" max="28" width="19.875" style="7" hidden="1" customWidth="1"/>
    <col min="29" max="29" width="10.25" style="44" hidden="1" customWidth="1"/>
    <col min="30" max="16384" width="9" style="3"/>
  </cols>
  <sheetData>
    <row r="1" spans="1:35" ht="15" customHeight="1" x14ac:dyDescent="0.15">
      <c r="C1" s="5"/>
      <c r="D1" s="4"/>
      <c r="F1" s="3"/>
      <c r="J1" s="3"/>
      <c r="L1" s="3"/>
      <c r="Q1" s="3"/>
      <c r="U1" s="4"/>
      <c r="W1" s="7"/>
      <c r="Y1" s="7"/>
      <c r="AA1" s="7"/>
      <c r="AC1" s="8"/>
    </row>
    <row r="2" spans="1:35" s="4" customFormat="1" ht="30" customHeight="1" x14ac:dyDescent="0.15">
      <c r="B2" s="188" t="s">
        <v>22</v>
      </c>
      <c r="C2" s="189" t="s">
        <v>23</v>
      </c>
      <c r="D2" s="190" t="s">
        <v>24</v>
      </c>
      <c r="E2" s="191" t="s">
        <v>25</v>
      </c>
      <c r="F2" s="191"/>
      <c r="G2" s="191" t="s">
        <v>26</v>
      </c>
      <c r="H2" s="191"/>
      <c r="I2" s="191"/>
      <c r="J2" s="191"/>
      <c r="K2" s="185" t="s">
        <v>27</v>
      </c>
      <c r="L2" s="186"/>
      <c r="M2" s="186"/>
      <c r="N2" s="186"/>
      <c r="O2" s="186"/>
      <c r="P2" s="186"/>
      <c r="Q2" s="187"/>
      <c r="R2" s="193" t="s">
        <v>28</v>
      </c>
      <c r="S2" s="194"/>
      <c r="T2" s="194" t="s">
        <v>29</v>
      </c>
      <c r="U2" s="190"/>
      <c r="V2" s="193" t="s">
        <v>30</v>
      </c>
      <c r="W2" s="190" t="s">
        <v>31</v>
      </c>
      <c r="X2" s="193" t="s">
        <v>32</v>
      </c>
      <c r="Y2" s="194"/>
      <c r="Z2" s="194"/>
      <c r="AA2" s="194"/>
      <c r="AB2" s="194"/>
      <c r="AC2" s="194"/>
      <c r="AD2" s="188" t="s">
        <v>505</v>
      </c>
      <c r="AE2" s="188" t="s">
        <v>506</v>
      </c>
      <c r="AF2" s="188" t="s">
        <v>507</v>
      </c>
      <c r="AG2" s="188" t="s">
        <v>508</v>
      </c>
      <c r="AH2" s="4" t="s">
        <v>509</v>
      </c>
    </row>
    <row r="3" spans="1:35" s="15" customFormat="1" ht="30" customHeight="1" x14ac:dyDescent="0.15">
      <c r="A3" s="9"/>
      <c r="B3" s="188"/>
      <c r="C3" s="189"/>
      <c r="D3" s="190"/>
      <c r="E3" s="10" t="s">
        <v>33</v>
      </c>
      <c r="F3" s="10" t="s">
        <v>34</v>
      </c>
      <c r="G3" s="11" t="s">
        <v>35</v>
      </c>
      <c r="H3" s="12" t="s">
        <v>36</v>
      </c>
      <c r="I3" s="12" t="s">
        <v>37</v>
      </c>
      <c r="J3" s="12" t="s">
        <v>38</v>
      </c>
      <c r="K3" s="13" t="s">
        <v>33</v>
      </c>
      <c r="L3" s="14" t="s">
        <v>34</v>
      </c>
      <c r="M3" s="14" t="s">
        <v>35</v>
      </c>
      <c r="N3" s="13" t="s">
        <v>36</v>
      </c>
      <c r="O3" s="13" t="s">
        <v>37</v>
      </c>
      <c r="P3" s="13" t="s">
        <v>38</v>
      </c>
      <c r="Q3" s="13" t="s">
        <v>39</v>
      </c>
      <c r="R3" s="193"/>
      <c r="S3" s="194"/>
      <c r="T3" s="194"/>
      <c r="U3" s="190"/>
      <c r="V3" s="195"/>
      <c r="W3" s="196"/>
      <c r="X3" s="15" t="s">
        <v>40</v>
      </c>
      <c r="Y3" s="16" t="s">
        <v>41</v>
      </c>
      <c r="Z3" s="15" t="s">
        <v>40</v>
      </c>
      <c r="AA3" s="16" t="s">
        <v>41</v>
      </c>
      <c r="AB3" s="15" t="s">
        <v>40</v>
      </c>
      <c r="AC3" s="17" t="s">
        <v>41</v>
      </c>
      <c r="AD3" s="192"/>
      <c r="AE3" s="192"/>
      <c r="AF3" s="192"/>
      <c r="AG3" s="192"/>
      <c r="AI3" s="15" t="s">
        <v>609</v>
      </c>
    </row>
    <row r="4" spans="1:35" s="4" customFormat="1" ht="15" customHeight="1" x14ac:dyDescent="0.15">
      <c r="A4" s="18"/>
      <c r="B4" s="4" t="s">
        <v>42</v>
      </c>
      <c r="C4" s="19" t="s">
        <v>43</v>
      </c>
      <c r="D4" s="20" t="s">
        <v>43</v>
      </c>
      <c r="E4" s="21"/>
      <c r="F4" s="22"/>
      <c r="G4" s="23"/>
      <c r="H4" s="23"/>
      <c r="I4" s="23"/>
      <c r="J4" s="22"/>
      <c r="K4" s="21"/>
      <c r="L4" s="22"/>
      <c r="M4" s="23"/>
      <c r="N4" s="23"/>
      <c r="O4" s="23"/>
      <c r="P4" s="23"/>
      <c r="Q4" s="22"/>
      <c r="U4" s="24"/>
      <c r="W4" s="24"/>
      <c r="X4" s="25" t="s">
        <v>44</v>
      </c>
      <c r="Y4" s="6">
        <v>2000</v>
      </c>
      <c r="Z4" s="25" t="s">
        <v>45</v>
      </c>
      <c r="AA4" s="26">
        <v>3.472222222222222E-3</v>
      </c>
      <c r="AB4" s="7" t="s">
        <v>46</v>
      </c>
      <c r="AC4" s="24"/>
    </row>
    <row r="5" spans="1:35" ht="15" customHeight="1" x14ac:dyDescent="0.15">
      <c r="B5" s="4" t="s">
        <v>47</v>
      </c>
      <c r="C5" s="19">
        <v>3.2407407407407406E-3</v>
      </c>
      <c r="D5" s="20">
        <v>1</v>
      </c>
      <c r="E5" s="27">
        <v>5000</v>
      </c>
      <c r="F5" s="28">
        <v>150</v>
      </c>
      <c r="G5" s="29">
        <v>1800</v>
      </c>
      <c r="H5" s="29">
        <v>1800</v>
      </c>
      <c r="I5" s="29">
        <v>720</v>
      </c>
      <c r="J5" s="28">
        <v>900</v>
      </c>
      <c r="K5" s="27">
        <v>2575</v>
      </c>
      <c r="L5" s="28">
        <v>30</v>
      </c>
      <c r="M5" s="29">
        <v>4600</v>
      </c>
      <c r="N5" s="29">
        <v>4600</v>
      </c>
      <c r="O5" s="29">
        <v>1800</v>
      </c>
      <c r="P5" s="29">
        <v>2300</v>
      </c>
      <c r="Q5" s="28">
        <v>400</v>
      </c>
      <c r="R5" s="4" t="s">
        <v>48</v>
      </c>
      <c r="X5" s="30" t="s">
        <v>49</v>
      </c>
      <c r="Y5" s="6">
        <v>5000</v>
      </c>
      <c r="Z5" s="30" t="s">
        <v>45</v>
      </c>
      <c r="AA5" s="26">
        <v>4.1666666666666666E-3</v>
      </c>
      <c r="AB5" s="31"/>
      <c r="AC5" s="20"/>
    </row>
    <row r="6" spans="1:35" ht="15" customHeight="1" x14ac:dyDescent="0.15">
      <c r="B6" s="4" t="s">
        <v>50</v>
      </c>
      <c r="C6" s="19">
        <v>1.3888888888888888E-2</v>
      </c>
      <c r="D6" s="20">
        <v>130</v>
      </c>
      <c r="E6" s="27">
        <v>10000</v>
      </c>
      <c r="F6" s="28">
        <v>150</v>
      </c>
      <c r="G6" s="29">
        <v>3240</v>
      </c>
      <c r="H6" s="29">
        <v>3240</v>
      </c>
      <c r="I6" s="29">
        <v>1296</v>
      </c>
      <c r="J6" s="28">
        <v>1620</v>
      </c>
      <c r="K6" s="27">
        <v>2600</v>
      </c>
      <c r="L6" s="28">
        <v>60</v>
      </c>
      <c r="M6" s="29">
        <v>5400</v>
      </c>
      <c r="N6" s="29">
        <v>5400</v>
      </c>
      <c r="O6" s="29">
        <v>2200</v>
      </c>
      <c r="P6" s="29">
        <v>2800</v>
      </c>
      <c r="Q6" s="28">
        <v>550</v>
      </c>
      <c r="R6" s="4" t="s">
        <v>51</v>
      </c>
      <c r="X6" s="30" t="s">
        <v>49</v>
      </c>
      <c r="Y6" s="6">
        <v>10000</v>
      </c>
      <c r="Z6" s="30" t="s">
        <v>45</v>
      </c>
      <c r="AA6" s="26">
        <v>4.8611111111111103E-3</v>
      </c>
      <c r="AB6" s="31"/>
      <c r="AC6" s="20"/>
    </row>
    <row r="7" spans="1:35" ht="15" customHeight="1" x14ac:dyDescent="0.15">
      <c r="B7" s="4" t="s">
        <v>52</v>
      </c>
      <c r="C7" s="19">
        <v>2.7777777777777776E-2</v>
      </c>
      <c r="D7" s="20">
        <v>130</v>
      </c>
      <c r="E7" s="6">
        <v>10000</v>
      </c>
      <c r="F7" s="20">
        <v>250</v>
      </c>
      <c r="G7" s="3">
        <v>5832</v>
      </c>
      <c r="H7" s="3">
        <v>5832</v>
      </c>
      <c r="I7" s="3">
        <v>2333</v>
      </c>
      <c r="J7" s="20">
        <v>2916</v>
      </c>
      <c r="K7" s="6">
        <v>2650</v>
      </c>
      <c r="L7" s="20">
        <v>110</v>
      </c>
      <c r="M7" s="3">
        <v>7400</v>
      </c>
      <c r="N7" s="3">
        <v>7400</v>
      </c>
      <c r="O7" s="3">
        <v>2900</v>
      </c>
      <c r="P7" s="3">
        <v>3700</v>
      </c>
      <c r="Q7" s="20">
        <v>700</v>
      </c>
      <c r="R7" s="4" t="s">
        <v>53</v>
      </c>
      <c r="X7" s="30" t="s">
        <v>49</v>
      </c>
      <c r="Y7" s="6">
        <v>15000</v>
      </c>
      <c r="Z7" s="30" t="s">
        <v>45</v>
      </c>
      <c r="AA7" s="26">
        <v>5.5555555555555497E-3</v>
      </c>
      <c r="AB7" s="31"/>
      <c r="AC7" s="20"/>
    </row>
    <row r="8" spans="1:35" ht="15" customHeight="1" x14ac:dyDescent="0.15">
      <c r="B8" s="4" t="s">
        <v>54</v>
      </c>
      <c r="C8" s="19">
        <v>5.5555555555555552E-2</v>
      </c>
      <c r="D8" s="20">
        <v>300</v>
      </c>
      <c r="E8" s="6">
        <v>10000</v>
      </c>
      <c r="F8" s="20">
        <v>350</v>
      </c>
      <c r="G8" s="3">
        <v>10498</v>
      </c>
      <c r="H8" s="3">
        <v>10498</v>
      </c>
      <c r="I8" s="3">
        <v>4200</v>
      </c>
      <c r="J8" s="20">
        <v>5249</v>
      </c>
      <c r="K8" s="6">
        <v>10175</v>
      </c>
      <c r="L8" s="20">
        <v>180</v>
      </c>
      <c r="M8" s="3">
        <v>10600</v>
      </c>
      <c r="N8" s="3">
        <v>10600</v>
      </c>
      <c r="O8" s="3">
        <v>4300</v>
      </c>
      <c r="P8" s="3">
        <v>5300</v>
      </c>
      <c r="Q8" s="20">
        <v>1050</v>
      </c>
      <c r="R8" s="4" t="s">
        <v>55</v>
      </c>
      <c r="X8" s="30" t="s">
        <v>49</v>
      </c>
      <c r="Y8" s="6">
        <v>20000</v>
      </c>
      <c r="Z8" s="30" t="s">
        <v>45</v>
      </c>
      <c r="AA8" s="26">
        <v>6.2500000000000003E-3</v>
      </c>
      <c r="AB8" s="31" t="s">
        <v>56</v>
      </c>
      <c r="AC8" s="20"/>
    </row>
    <row r="9" spans="1:35" ht="15" customHeight="1" x14ac:dyDescent="0.15">
      <c r="B9" s="4" t="s">
        <v>57</v>
      </c>
      <c r="C9" s="19">
        <v>0.1111111111111111</v>
      </c>
      <c r="D9" s="20">
        <v>300</v>
      </c>
      <c r="E9" s="6">
        <v>10000</v>
      </c>
      <c r="F9" s="20">
        <v>550</v>
      </c>
      <c r="G9" s="3">
        <v>20996</v>
      </c>
      <c r="H9" s="3">
        <v>20996</v>
      </c>
      <c r="I9" s="3">
        <v>8400</v>
      </c>
      <c r="J9" s="20">
        <v>10498</v>
      </c>
      <c r="K9" s="6">
        <v>20000</v>
      </c>
      <c r="L9" s="20">
        <v>275</v>
      </c>
      <c r="M9" s="3">
        <v>6998</v>
      </c>
      <c r="N9" s="3">
        <v>6998</v>
      </c>
      <c r="O9" s="3">
        <v>2800</v>
      </c>
      <c r="P9" s="3">
        <v>3499</v>
      </c>
      <c r="Q9" s="20">
        <v>430</v>
      </c>
      <c r="R9" s="4" t="s">
        <v>58</v>
      </c>
      <c r="S9" s="4" t="s">
        <v>59</v>
      </c>
      <c r="X9" s="30" t="s">
        <v>49</v>
      </c>
      <c r="Y9" s="6">
        <v>25000</v>
      </c>
      <c r="Z9" s="30" t="s">
        <v>45</v>
      </c>
      <c r="AA9" s="26">
        <v>6.9444444444444397E-3</v>
      </c>
      <c r="AB9" s="31" t="s">
        <v>60</v>
      </c>
      <c r="AC9" s="20">
        <v>1</v>
      </c>
    </row>
    <row r="10" spans="1:35" ht="15" customHeight="1" x14ac:dyDescent="0.15">
      <c r="B10" s="4" t="s">
        <v>61</v>
      </c>
      <c r="C10" s="19">
        <v>0.22222222222222221</v>
      </c>
      <c r="D10" s="20">
        <v>650</v>
      </c>
      <c r="E10" s="6">
        <v>10000</v>
      </c>
      <c r="F10" s="20">
        <v>850</v>
      </c>
      <c r="G10" s="3">
        <v>41992</v>
      </c>
      <c r="H10" s="3">
        <v>41992</v>
      </c>
      <c r="I10" s="3">
        <v>16800</v>
      </c>
      <c r="J10" s="20">
        <v>20996</v>
      </c>
      <c r="K10" s="6">
        <v>30000</v>
      </c>
      <c r="L10" s="20">
        <v>450</v>
      </c>
      <c r="M10" s="3">
        <v>29900</v>
      </c>
      <c r="N10" s="3">
        <v>29900</v>
      </c>
      <c r="O10" s="3">
        <v>12000</v>
      </c>
      <c r="P10" s="3">
        <v>14900</v>
      </c>
      <c r="Q10" s="20">
        <v>650</v>
      </c>
      <c r="R10" s="4" t="s">
        <v>62</v>
      </c>
      <c r="S10" s="4" t="s">
        <v>63</v>
      </c>
      <c r="X10" s="30" t="s">
        <v>49</v>
      </c>
      <c r="Y10" s="6">
        <v>30000</v>
      </c>
      <c r="Z10" s="30" t="s">
        <v>45</v>
      </c>
      <c r="AA10" s="26">
        <v>7.6388888888888904E-3</v>
      </c>
      <c r="AB10" s="31"/>
      <c r="AC10" s="20"/>
    </row>
    <row r="11" spans="1:35" ht="15" customHeight="1" x14ac:dyDescent="0.15">
      <c r="B11" s="4" t="s">
        <v>64</v>
      </c>
      <c r="C11" s="19">
        <v>0.44444444444444442</v>
      </c>
      <c r="D11" s="20">
        <v>650</v>
      </c>
      <c r="E11" s="6">
        <v>10000</v>
      </c>
      <c r="F11" s="20">
        <v>1250</v>
      </c>
      <c r="G11" s="3">
        <v>83984</v>
      </c>
      <c r="H11" s="3">
        <v>83984</v>
      </c>
      <c r="I11" s="3">
        <v>33600</v>
      </c>
      <c r="J11" s="20">
        <v>41992</v>
      </c>
      <c r="K11" s="6">
        <v>40000</v>
      </c>
      <c r="L11" s="20">
        <v>700</v>
      </c>
      <c r="M11" s="3">
        <v>52400</v>
      </c>
      <c r="N11" s="3">
        <v>52400</v>
      </c>
      <c r="O11" s="3">
        <v>21000</v>
      </c>
      <c r="P11" s="3">
        <v>26200</v>
      </c>
      <c r="Q11" s="20">
        <v>900</v>
      </c>
      <c r="R11" s="32" t="s">
        <v>65</v>
      </c>
      <c r="S11" s="4" t="s">
        <v>66</v>
      </c>
      <c r="X11" s="30" t="s">
        <v>49</v>
      </c>
      <c r="Y11" s="6">
        <v>35000</v>
      </c>
      <c r="Z11" s="30" t="s">
        <v>45</v>
      </c>
      <c r="AA11" s="26">
        <v>8.3333333333333297E-3</v>
      </c>
      <c r="AB11" s="31"/>
      <c r="AC11" s="20"/>
    </row>
    <row r="12" spans="1:35" ht="15" customHeight="1" x14ac:dyDescent="0.15">
      <c r="B12" s="4" t="s">
        <v>67</v>
      </c>
      <c r="C12" s="19">
        <v>0.88888888888888884</v>
      </c>
      <c r="D12" s="20">
        <v>1000</v>
      </c>
      <c r="E12" s="6">
        <v>10000</v>
      </c>
      <c r="F12" s="20">
        <v>1900</v>
      </c>
      <c r="G12" s="3">
        <v>167968</v>
      </c>
      <c r="H12" s="3">
        <f>H11*2</f>
        <v>167968</v>
      </c>
      <c r="I12" s="3">
        <f>I11*2</f>
        <v>67200</v>
      </c>
      <c r="J12" s="20">
        <f>J11*2</f>
        <v>83984</v>
      </c>
      <c r="K12" s="6">
        <v>70000</v>
      </c>
      <c r="L12" s="20">
        <v>1075</v>
      </c>
      <c r="M12" s="3">
        <v>93300</v>
      </c>
      <c r="N12" s="3">
        <v>93300</v>
      </c>
      <c r="O12" s="3">
        <v>37300</v>
      </c>
      <c r="P12" s="3">
        <v>46600</v>
      </c>
      <c r="Q12" s="20">
        <v>1100</v>
      </c>
      <c r="R12" s="32" t="s">
        <v>68</v>
      </c>
      <c r="S12" s="4" t="s">
        <v>69</v>
      </c>
      <c r="X12" s="30" t="s">
        <v>49</v>
      </c>
      <c r="Y12" s="6">
        <v>40000</v>
      </c>
      <c r="Z12" s="30" t="s">
        <v>70</v>
      </c>
      <c r="AA12" s="26">
        <v>9.0277777777777804E-3</v>
      </c>
      <c r="AB12" s="31"/>
      <c r="AC12" s="20"/>
    </row>
    <row r="13" spans="1:35" ht="15" customHeight="1" x14ac:dyDescent="0.15">
      <c r="B13" s="4" t="s">
        <v>71</v>
      </c>
      <c r="C13" s="19">
        <v>1.7777777777777777</v>
      </c>
      <c r="D13" s="20">
        <v>4400</v>
      </c>
      <c r="E13" s="6">
        <v>10000</v>
      </c>
      <c r="F13" s="20">
        <v>2850</v>
      </c>
      <c r="G13" s="3">
        <v>251952</v>
      </c>
      <c r="H13" s="3">
        <v>251952</v>
      </c>
      <c r="I13" s="3">
        <v>100800</v>
      </c>
      <c r="J13" s="20">
        <v>125976</v>
      </c>
      <c r="K13" s="6">
        <v>90000</v>
      </c>
      <c r="L13" s="20">
        <v>1650</v>
      </c>
      <c r="M13" s="3">
        <v>50390</v>
      </c>
      <c r="N13" s="3">
        <v>50390</v>
      </c>
      <c r="O13" s="3">
        <v>20160</v>
      </c>
      <c r="P13" s="3">
        <v>25195</v>
      </c>
      <c r="Q13" s="20">
        <v>840</v>
      </c>
      <c r="R13" s="32" t="s">
        <v>72</v>
      </c>
      <c r="S13" s="4" t="s">
        <v>73</v>
      </c>
      <c r="X13" s="30" t="s">
        <v>49</v>
      </c>
      <c r="Y13" s="6">
        <v>45000</v>
      </c>
      <c r="Z13" s="30" t="s">
        <v>70</v>
      </c>
      <c r="AA13" s="26">
        <v>9.7222222222222206E-3</v>
      </c>
      <c r="AB13" s="31" t="s">
        <v>74</v>
      </c>
      <c r="AC13" s="20"/>
    </row>
    <row r="14" spans="1:35" ht="15" customHeight="1" x14ac:dyDescent="0.15">
      <c r="B14" s="4" t="s">
        <v>75</v>
      </c>
      <c r="C14" s="19">
        <v>2.1333333333333333</v>
      </c>
      <c r="D14" s="20">
        <v>4400</v>
      </c>
      <c r="E14" s="6">
        <v>10000</v>
      </c>
      <c r="F14" s="20">
        <v>4300</v>
      </c>
      <c r="G14" s="3">
        <v>377928</v>
      </c>
      <c r="H14" s="3">
        <v>377928</v>
      </c>
      <c r="I14" s="3">
        <v>151200</v>
      </c>
      <c r="J14" s="20">
        <v>188964</v>
      </c>
      <c r="K14" s="6">
        <v>150000</v>
      </c>
      <c r="L14" s="20">
        <v>2500</v>
      </c>
      <c r="M14" s="3">
        <v>68714</v>
      </c>
      <c r="N14" s="3">
        <v>68714</v>
      </c>
      <c r="O14" s="3">
        <v>27490</v>
      </c>
      <c r="P14" s="3">
        <v>34357</v>
      </c>
      <c r="Q14" s="20">
        <v>600</v>
      </c>
      <c r="R14" s="32" t="s">
        <v>76</v>
      </c>
      <c r="S14" s="4" t="s">
        <v>77</v>
      </c>
      <c r="X14" s="30" t="s">
        <v>49</v>
      </c>
      <c r="Y14" s="6">
        <v>50000</v>
      </c>
      <c r="Z14" s="30" t="s">
        <v>70</v>
      </c>
      <c r="AA14" s="26">
        <v>1.0416666666666701E-2</v>
      </c>
      <c r="AB14" s="31" t="s">
        <v>78</v>
      </c>
      <c r="AC14" s="20">
        <v>1</v>
      </c>
    </row>
    <row r="15" spans="1:35" ht="15" customHeight="1" x14ac:dyDescent="0.15">
      <c r="B15" s="4" t="s">
        <v>79</v>
      </c>
      <c r="R15" s="32" t="s">
        <v>80</v>
      </c>
      <c r="X15" s="30" t="s">
        <v>49</v>
      </c>
      <c r="Y15" s="6">
        <v>60000</v>
      </c>
      <c r="Z15" s="30" t="s">
        <v>70</v>
      </c>
      <c r="AA15" s="26">
        <v>1.1111111111111099E-2</v>
      </c>
      <c r="AB15" s="31"/>
      <c r="AC15" s="20"/>
    </row>
    <row r="16" spans="1:35" ht="15" customHeight="1" x14ac:dyDescent="0.15">
      <c r="B16" s="4" t="s">
        <v>81</v>
      </c>
      <c r="R16" s="32" t="s">
        <v>82</v>
      </c>
      <c r="X16" s="30" t="s">
        <v>49</v>
      </c>
      <c r="Y16" s="6">
        <v>70000</v>
      </c>
      <c r="Z16" s="30" t="s">
        <v>70</v>
      </c>
      <c r="AA16" s="26">
        <v>1.18055555555556E-2</v>
      </c>
      <c r="AB16" s="31"/>
      <c r="AC16" s="20"/>
    </row>
    <row r="17" spans="2:29" ht="15" customHeight="1" x14ac:dyDescent="0.15">
      <c r="B17" s="4" t="s">
        <v>83</v>
      </c>
      <c r="R17" s="32" t="s">
        <v>84</v>
      </c>
      <c r="X17" s="30" t="s">
        <v>49</v>
      </c>
      <c r="Y17" s="6">
        <v>80000</v>
      </c>
      <c r="Z17" s="30" t="s">
        <v>70</v>
      </c>
      <c r="AA17" s="26">
        <v>1.2500000000000001E-2</v>
      </c>
      <c r="AB17" s="31"/>
      <c r="AC17" s="20"/>
    </row>
    <row r="18" spans="2:29" ht="15" customHeight="1" x14ac:dyDescent="0.15">
      <c r="B18" s="4" t="s">
        <v>85</v>
      </c>
      <c r="R18" s="32" t="s">
        <v>86</v>
      </c>
      <c r="X18" s="30" t="s">
        <v>49</v>
      </c>
      <c r="Y18" s="6">
        <v>90000</v>
      </c>
      <c r="Z18" s="30" t="s">
        <v>70</v>
      </c>
      <c r="AA18" s="26">
        <v>1.3194444444444399E-2</v>
      </c>
      <c r="AB18" s="31" t="s">
        <v>87</v>
      </c>
      <c r="AC18" s="20"/>
    </row>
    <row r="19" spans="2:29" ht="15" customHeight="1" x14ac:dyDescent="0.15">
      <c r="B19" s="4" t="s">
        <v>88</v>
      </c>
      <c r="R19" s="32" t="s">
        <v>89</v>
      </c>
      <c r="X19" s="30" t="s">
        <v>49</v>
      </c>
      <c r="Y19" s="6">
        <v>100000</v>
      </c>
      <c r="Z19" s="30" t="s">
        <v>70</v>
      </c>
      <c r="AA19" s="26">
        <v>1.38888888888889E-2</v>
      </c>
      <c r="AB19" s="31" t="s">
        <v>78</v>
      </c>
      <c r="AC19" s="20">
        <v>1</v>
      </c>
    </row>
    <row r="20" spans="2:29" ht="15" customHeight="1" x14ac:dyDescent="0.15">
      <c r="B20" s="33" t="s">
        <v>90</v>
      </c>
      <c r="C20" s="34"/>
      <c r="G20" s="6"/>
      <c r="H20" s="6"/>
      <c r="I20" s="6"/>
      <c r="M20" s="6"/>
      <c r="N20" s="6"/>
      <c r="O20" s="6"/>
      <c r="P20" s="6"/>
      <c r="R20" s="32" t="s">
        <v>91</v>
      </c>
      <c r="S20" s="33"/>
      <c r="T20" s="33"/>
      <c r="V20" s="6"/>
      <c r="X20" s="30" t="s">
        <v>49</v>
      </c>
      <c r="Y20" s="6">
        <v>125000</v>
      </c>
      <c r="Z20" s="30" t="s">
        <v>70</v>
      </c>
      <c r="AA20" s="26">
        <v>1.4583333333333301E-2</v>
      </c>
      <c r="AB20" s="31"/>
      <c r="AC20" s="20"/>
    </row>
    <row r="21" spans="2:29" ht="15" customHeight="1" x14ac:dyDescent="0.15">
      <c r="B21" s="33" t="s">
        <v>92</v>
      </c>
      <c r="C21" s="34"/>
      <c r="G21" s="6"/>
      <c r="H21" s="6"/>
      <c r="I21" s="6"/>
      <c r="M21" s="6"/>
      <c r="N21" s="6"/>
      <c r="O21" s="6"/>
      <c r="P21" s="6"/>
      <c r="R21" s="32" t="s">
        <v>93</v>
      </c>
      <c r="S21" s="33"/>
      <c r="T21" s="33"/>
      <c r="V21" s="6"/>
      <c r="X21" s="30" t="s">
        <v>49</v>
      </c>
      <c r="Y21" s="6">
        <v>150000</v>
      </c>
      <c r="Z21" s="30" t="s">
        <v>70</v>
      </c>
      <c r="AA21" s="26">
        <v>1.52777777777778E-2</v>
      </c>
      <c r="AB21" s="31"/>
      <c r="AC21" s="20"/>
    </row>
    <row r="22" spans="2:29" ht="15" customHeight="1" x14ac:dyDescent="0.15">
      <c r="B22" s="33" t="s">
        <v>94</v>
      </c>
      <c r="C22" s="34"/>
      <c r="G22" s="6"/>
      <c r="H22" s="6"/>
      <c r="I22" s="6"/>
      <c r="M22" s="6"/>
      <c r="N22" s="6"/>
      <c r="O22" s="6"/>
      <c r="P22" s="6"/>
      <c r="R22" s="32" t="s">
        <v>95</v>
      </c>
      <c r="S22" s="33"/>
      <c r="T22" s="33"/>
      <c r="V22" s="6"/>
      <c r="X22" s="30" t="s">
        <v>49</v>
      </c>
      <c r="Y22" s="6">
        <v>175000</v>
      </c>
      <c r="Z22" s="30" t="s">
        <v>70</v>
      </c>
      <c r="AA22" s="26">
        <v>1.59722222222222E-2</v>
      </c>
      <c r="AB22" s="31"/>
      <c r="AC22" s="20"/>
    </row>
    <row r="23" spans="2:29" ht="15" customHeight="1" x14ac:dyDescent="0.15">
      <c r="B23" s="33" t="s">
        <v>96</v>
      </c>
      <c r="C23" s="34"/>
      <c r="G23" s="6"/>
      <c r="H23" s="6"/>
      <c r="I23" s="6"/>
      <c r="M23" s="6"/>
      <c r="N23" s="6"/>
      <c r="O23" s="6"/>
      <c r="P23" s="6"/>
      <c r="R23" s="32" t="s">
        <v>97</v>
      </c>
      <c r="S23" s="33"/>
      <c r="T23" s="33"/>
      <c r="V23" s="6"/>
      <c r="X23" s="30" t="s">
        <v>49</v>
      </c>
      <c r="Y23" s="6">
        <v>200000</v>
      </c>
      <c r="Z23" s="30" t="s">
        <v>70</v>
      </c>
      <c r="AA23" s="26">
        <v>1.6666666666666601E-2</v>
      </c>
      <c r="AB23" s="31"/>
      <c r="AC23" s="20"/>
    </row>
    <row r="24" spans="2:29" ht="15" customHeight="1" x14ac:dyDescent="0.15">
      <c r="B24" s="15" t="s">
        <v>98</v>
      </c>
      <c r="C24" s="35"/>
      <c r="D24" s="36"/>
      <c r="E24" s="37"/>
      <c r="F24" s="38"/>
      <c r="G24" s="37"/>
      <c r="H24" s="37"/>
      <c r="I24" s="37"/>
      <c r="J24" s="38"/>
      <c r="K24" s="37"/>
      <c r="L24" s="38"/>
      <c r="M24" s="37"/>
      <c r="N24" s="37"/>
      <c r="O24" s="37"/>
      <c r="P24" s="37"/>
      <c r="Q24" s="38"/>
      <c r="R24" s="39" t="s">
        <v>99</v>
      </c>
      <c r="S24" s="15"/>
      <c r="T24" s="15"/>
      <c r="U24" s="16"/>
      <c r="V24" s="40"/>
      <c r="W24" s="36"/>
      <c r="X24" s="41" t="s">
        <v>49</v>
      </c>
      <c r="Y24" s="40">
        <v>250000</v>
      </c>
      <c r="Z24" s="41" t="s">
        <v>70</v>
      </c>
      <c r="AA24" s="42">
        <v>1.7361111111111101E-2</v>
      </c>
      <c r="AB24" s="41" t="s">
        <v>78</v>
      </c>
      <c r="AC24" s="36">
        <v>1</v>
      </c>
    </row>
    <row r="25" spans="2:29" ht="15" customHeight="1" x14ac:dyDescent="0.15">
      <c r="B25" s="4" t="s">
        <v>48</v>
      </c>
      <c r="C25" s="19" t="s">
        <v>100</v>
      </c>
      <c r="D25" s="20" t="s">
        <v>100</v>
      </c>
      <c r="E25" s="43" t="s">
        <v>100</v>
      </c>
      <c r="F25" s="28">
        <v>0</v>
      </c>
      <c r="G25" s="29"/>
      <c r="H25" s="29"/>
      <c r="I25" s="29"/>
      <c r="J25" s="28"/>
      <c r="K25" s="27"/>
      <c r="L25" s="28"/>
      <c r="M25" s="29"/>
      <c r="N25" s="29"/>
      <c r="O25" s="29"/>
      <c r="P25" s="29"/>
      <c r="Q25" s="28"/>
      <c r="X25" s="25" t="s">
        <v>101</v>
      </c>
      <c r="Y25" s="20">
        <v>1500</v>
      </c>
    </row>
    <row r="26" spans="2:29" ht="15" customHeight="1" x14ac:dyDescent="0.15">
      <c r="B26" s="4" t="s">
        <v>51</v>
      </c>
      <c r="C26" s="19">
        <v>2.4305555555555556E-3</v>
      </c>
      <c r="D26" s="20">
        <v>1</v>
      </c>
      <c r="E26" s="27">
        <v>5000</v>
      </c>
      <c r="F26" s="28">
        <v>90</v>
      </c>
      <c r="G26" s="29">
        <v>1800</v>
      </c>
      <c r="H26" s="29">
        <v>1440</v>
      </c>
      <c r="I26" s="29">
        <v>540</v>
      </c>
      <c r="J26" s="28">
        <v>900</v>
      </c>
      <c r="K26" s="27">
        <v>2575</v>
      </c>
      <c r="L26" s="28">
        <v>17</v>
      </c>
      <c r="M26" s="29">
        <v>4600</v>
      </c>
      <c r="N26" s="29">
        <v>3600</v>
      </c>
      <c r="O26" s="29">
        <v>1400</v>
      </c>
      <c r="P26" s="29">
        <v>2300</v>
      </c>
      <c r="Q26" s="28">
        <v>350</v>
      </c>
      <c r="X26" s="30" t="s">
        <v>102</v>
      </c>
      <c r="Y26" s="20">
        <v>2500</v>
      </c>
    </row>
    <row r="27" spans="2:29" ht="15" customHeight="1" x14ac:dyDescent="0.15">
      <c r="B27" s="4" t="s">
        <v>53</v>
      </c>
      <c r="C27" s="19">
        <v>4.8611111111111112E-3</v>
      </c>
      <c r="D27" s="20">
        <v>70</v>
      </c>
      <c r="E27" s="27">
        <v>5000</v>
      </c>
      <c r="F27" s="28">
        <v>100</v>
      </c>
      <c r="G27" s="29">
        <v>3240</v>
      </c>
      <c r="H27" s="29">
        <v>2592</v>
      </c>
      <c r="I27" s="29">
        <v>972</v>
      </c>
      <c r="J27" s="28">
        <v>1620</v>
      </c>
      <c r="K27" s="27">
        <v>2600</v>
      </c>
      <c r="L27" s="28">
        <v>35</v>
      </c>
      <c r="M27" s="29">
        <v>5400</v>
      </c>
      <c r="N27" s="29">
        <v>4400</v>
      </c>
      <c r="O27" s="29">
        <v>1600</v>
      </c>
      <c r="P27" s="29">
        <v>2800</v>
      </c>
      <c r="Q27" s="28">
        <v>450</v>
      </c>
      <c r="X27" s="30" t="s">
        <v>102</v>
      </c>
      <c r="Y27" s="20">
        <v>5000</v>
      </c>
    </row>
    <row r="28" spans="2:29" ht="15" customHeight="1" x14ac:dyDescent="0.15">
      <c r="B28" s="4" t="s">
        <v>55</v>
      </c>
      <c r="C28" s="19">
        <v>9.7222222222222224E-3</v>
      </c>
      <c r="D28" s="20">
        <v>70</v>
      </c>
      <c r="E28" s="27">
        <v>5000</v>
      </c>
      <c r="F28" s="28">
        <v>150</v>
      </c>
      <c r="G28" s="29">
        <v>5832</v>
      </c>
      <c r="H28" s="29">
        <v>4666</v>
      </c>
      <c r="I28" s="29">
        <v>1750</v>
      </c>
      <c r="J28" s="28">
        <v>2916</v>
      </c>
      <c r="K28" s="27">
        <v>2650</v>
      </c>
      <c r="L28" s="28">
        <v>65</v>
      </c>
      <c r="M28" s="29">
        <v>7400</v>
      </c>
      <c r="N28" s="29">
        <v>5800</v>
      </c>
      <c r="O28" s="29">
        <v>2200</v>
      </c>
      <c r="P28" s="29">
        <v>3700</v>
      </c>
      <c r="Q28" s="28">
        <v>550</v>
      </c>
      <c r="R28" s="4" t="s">
        <v>103</v>
      </c>
      <c r="X28" s="30" t="s">
        <v>102</v>
      </c>
      <c r="Y28" s="20">
        <v>7500</v>
      </c>
    </row>
    <row r="29" spans="2:29" ht="15" customHeight="1" x14ac:dyDescent="0.15">
      <c r="B29" s="4" t="s">
        <v>58</v>
      </c>
      <c r="C29" s="19">
        <v>1.9444444444444445E-2</v>
      </c>
      <c r="D29" s="20">
        <v>130</v>
      </c>
      <c r="E29" s="27">
        <v>5000</v>
      </c>
      <c r="F29" s="28">
        <v>210</v>
      </c>
      <c r="G29" s="29">
        <v>10498</v>
      </c>
      <c r="H29" s="29">
        <v>8399</v>
      </c>
      <c r="I29" s="29">
        <v>3150</v>
      </c>
      <c r="J29" s="28">
        <v>5249</v>
      </c>
      <c r="K29" s="27">
        <v>10175</v>
      </c>
      <c r="L29" s="28">
        <v>107</v>
      </c>
      <c r="M29" s="29">
        <v>10600</v>
      </c>
      <c r="N29" s="29">
        <v>8500</v>
      </c>
      <c r="O29" s="29">
        <v>3200</v>
      </c>
      <c r="P29" s="29">
        <v>5300</v>
      </c>
      <c r="Q29" s="28">
        <v>900</v>
      </c>
      <c r="R29" s="4" t="s">
        <v>104</v>
      </c>
      <c r="X29" s="30" t="s">
        <v>102</v>
      </c>
      <c r="Y29" s="20">
        <v>10000</v>
      </c>
    </row>
    <row r="30" spans="2:29" ht="15" customHeight="1" x14ac:dyDescent="0.15">
      <c r="B30" s="4" t="s">
        <v>105</v>
      </c>
      <c r="C30" s="19">
        <v>3.888888888888889E-2</v>
      </c>
      <c r="D30" s="20">
        <v>130</v>
      </c>
      <c r="E30" s="27">
        <v>5000</v>
      </c>
      <c r="F30" s="28">
        <v>330</v>
      </c>
      <c r="G30" s="29">
        <v>20996</v>
      </c>
      <c r="H30" s="29">
        <v>16798</v>
      </c>
      <c r="I30" s="29">
        <v>6300</v>
      </c>
      <c r="J30" s="28">
        <v>10498</v>
      </c>
      <c r="K30" s="27">
        <v>20000</v>
      </c>
      <c r="L30" s="28">
        <v>172</v>
      </c>
      <c r="M30" s="29">
        <v>17400</v>
      </c>
      <c r="N30" s="29">
        <v>13900</v>
      </c>
      <c r="O30" s="29">
        <v>5200</v>
      </c>
      <c r="P30" s="29">
        <v>8700</v>
      </c>
      <c r="Q30" s="28">
        <v>750</v>
      </c>
      <c r="R30" s="4" t="s">
        <v>106</v>
      </c>
      <c r="X30" s="30" t="s">
        <v>102</v>
      </c>
      <c r="Y30" s="20">
        <v>12500</v>
      </c>
    </row>
    <row r="31" spans="2:29" ht="15" customHeight="1" x14ac:dyDescent="0.15">
      <c r="B31" s="4" t="s">
        <v>65</v>
      </c>
      <c r="C31" s="19">
        <v>7.7777777777777779E-2</v>
      </c>
      <c r="D31" s="20">
        <v>300</v>
      </c>
      <c r="E31" s="27">
        <v>5000</v>
      </c>
      <c r="F31" s="28">
        <v>510</v>
      </c>
      <c r="G31" s="29">
        <v>41992</v>
      </c>
      <c r="H31" s="29">
        <v>33596</v>
      </c>
      <c r="I31" s="29">
        <v>12600</v>
      </c>
      <c r="J31" s="28">
        <v>20996</v>
      </c>
      <c r="K31" s="27">
        <v>20000</v>
      </c>
      <c r="L31" s="28">
        <v>275</v>
      </c>
      <c r="M31" s="29">
        <v>29900</v>
      </c>
      <c r="N31" s="29">
        <v>23900</v>
      </c>
      <c r="O31" s="29">
        <v>9000</v>
      </c>
      <c r="P31" s="29">
        <v>14900</v>
      </c>
      <c r="Q31" s="28">
        <v>550</v>
      </c>
      <c r="R31" s="4" t="s">
        <v>107</v>
      </c>
      <c r="X31" s="30" t="s">
        <v>102</v>
      </c>
      <c r="Y31" s="20">
        <v>15000</v>
      </c>
    </row>
    <row r="32" spans="2:29" ht="15" customHeight="1" x14ac:dyDescent="0.15">
      <c r="B32" s="4" t="s">
        <v>68</v>
      </c>
      <c r="C32" s="19">
        <v>0.15555555555555556</v>
      </c>
      <c r="D32" s="20">
        <v>300</v>
      </c>
      <c r="E32" s="27">
        <v>5000</v>
      </c>
      <c r="F32" s="28">
        <v>750</v>
      </c>
      <c r="G32" s="29">
        <v>83984</v>
      </c>
      <c r="H32" s="29">
        <v>67192</v>
      </c>
      <c r="I32" s="29">
        <v>25200</v>
      </c>
      <c r="J32" s="28">
        <v>41992</v>
      </c>
      <c r="K32" s="27">
        <v>30000</v>
      </c>
      <c r="L32" s="28">
        <v>425</v>
      </c>
      <c r="M32" s="29">
        <v>52400</v>
      </c>
      <c r="N32" s="29">
        <v>41900</v>
      </c>
      <c r="O32" s="29">
        <v>15700</v>
      </c>
      <c r="P32" s="29">
        <v>26200</v>
      </c>
      <c r="Q32" s="28">
        <v>750</v>
      </c>
      <c r="R32" s="32" t="s">
        <v>108</v>
      </c>
      <c r="X32" s="30" t="s">
        <v>102</v>
      </c>
      <c r="Y32" s="20">
        <v>17500</v>
      </c>
    </row>
    <row r="33" spans="2:29" ht="15" customHeight="1" x14ac:dyDescent="0.15">
      <c r="B33" s="4" t="s">
        <v>72</v>
      </c>
      <c r="C33" s="19">
        <v>0.31111111111111112</v>
      </c>
      <c r="D33" s="20">
        <v>650</v>
      </c>
      <c r="E33" s="27">
        <v>5000</v>
      </c>
      <c r="F33" s="28">
        <v>1140</v>
      </c>
      <c r="G33" s="29">
        <v>167968</v>
      </c>
      <c r="H33" s="29">
        <v>134384</v>
      </c>
      <c r="I33" s="29">
        <v>50400</v>
      </c>
      <c r="J33" s="28">
        <v>83984</v>
      </c>
      <c r="K33" s="27">
        <v>60000</v>
      </c>
      <c r="L33" s="28">
        <v>650</v>
      </c>
      <c r="M33" s="29">
        <v>93300</v>
      </c>
      <c r="N33" s="29">
        <v>74600</v>
      </c>
      <c r="O33" s="29">
        <v>28000</v>
      </c>
      <c r="P33" s="29">
        <v>46600</v>
      </c>
      <c r="Q33" s="28">
        <v>850</v>
      </c>
      <c r="R33" s="32" t="s">
        <v>109</v>
      </c>
      <c r="X33" s="30" t="s">
        <v>102</v>
      </c>
      <c r="Y33" s="20">
        <v>20000</v>
      </c>
    </row>
    <row r="34" spans="2:29" ht="15" customHeight="1" x14ac:dyDescent="0.15">
      <c r="B34" s="4" t="s">
        <v>76</v>
      </c>
      <c r="C34" s="19">
        <v>0.62222222222222223</v>
      </c>
      <c r="D34" s="20">
        <v>1000</v>
      </c>
      <c r="E34" s="27">
        <v>5000</v>
      </c>
      <c r="F34" s="28">
        <v>1710</v>
      </c>
      <c r="G34" s="29">
        <v>251952</v>
      </c>
      <c r="H34" s="29">
        <v>201576</v>
      </c>
      <c r="I34" s="29">
        <v>75600</v>
      </c>
      <c r="J34" s="28">
        <v>125976</v>
      </c>
      <c r="K34" s="27">
        <v>70000</v>
      </c>
      <c r="L34" s="28">
        <v>975</v>
      </c>
      <c r="M34" s="29">
        <v>50390</v>
      </c>
      <c r="N34" s="29">
        <v>40315</v>
      </c>
      <c r="O34" s="29">
        <v>15120</v>
      </c>
      <c r="P34" s="29">
        <v>25195</v>
      </c>
      <c r="Q34" s="28">
        <v>675</v>
      </c>
      <c r="R34" s="32" t="s">
        <v>110</v>
      </c>
      <c r="X34" s="30" t="s">
        <v>102</v>
      </c>
      <c r="Y34" s="20">
        <v>22500</v>
      </c>
    </row>
    <row r="35" spans="2:29" ht="15" customHeight="1" x14ac:dyDescent="0.15">
      <c r="B35" s="4" t="s">
        <v>80</v>
      </c>
      <c r="E35" s="27"/>
      <c r="F35" s="28"/>
      <c r="G35" s="29"/>
      <c r="H35" s="29"/>
      <c r="I35" s="29"/>
      <c r="J35" s="28"/>
      <c r="K35" s="27"/>
      <c r="L35" s="28"/>
      <c r="M35" s="29"/>
      <c r="N35" s="29"/>
      <c r="O35" s="29"/>
      <c r="P35" s="29"/>
      <c r="Q35" s="28"/>
      <c r="R35" s="32" t="s">
        <v>111</v>
      </c>
      <c r="X35" s="30" t="s">
        <v>102</v>
      </c>
      <c r="Y35" s="20">
        <v>25000</v>
      </c>
    </row>
    <row r="36" spans="2:29" ht="15" customHeight="1" x14ac:dyDescent="0.15">
      <c r="B36" s="4" t="s">
        <v>82</v>
      </c>
      <c r="E36" s="27"/>
      <c r="F36" s="28"/>
      <c r="G36" s="29"/>
      <c r="H36" s="29"/>
      <c r="I36" s="29"/>
      <c r="J36" s="28"/>
      <c r="K36" s="27"/>
      <c r="L36" s="28"/>
      <c r="M36" s="29"/>
      <c r="N36" s="29"/>
      <c r="O36" s="29"/>
      <c r="P36" s="29"/>
      <c r="Q36" s="28"/>
      <c r="R36" s="32" t="s">
        <v>112</v>
      </c>
      <c r="X36" s="30" t="s">
        <v>102</v>
      </c>
      <c r="Y36" s="20">
        <v>30000</v>
      </c>
    </row>
    <row r="37" spans="2:29" ht="15" customHeight="1" x14ac:dyDescent="0.15">
      <c r="B37" s="33" t="s">
        <v>84</v>
      </c>
      <c r="C37" s="34"/>
      <c r="E37" s="27"/>
      <c r="F37" s="28"/>
      <c r="G37" s="27"/>
      <c r="H37" s="27"/>
      <c r="I37" s="27"/>
      <c r="J37" s="28"/>
      <c r="K37" s="27"/>
      <c r="L37" s="28"/>
      <c r="M37" s="27"/>
      <c r="N37" s="27"/>
      <c r="O37" s="27"/>
      <c r="P37" s="27"/>
      <c r="Q37" s="28"/>
      <c r="R37" s="32" t="s">
        <v>113</v>
      </c>
      <c r="S37" s="33"/>
      <c r="T37" s="33"/>
      <c r="V37" s="6"/>
      <c r="X37" s="30" t="s">
        <v>102</v>
      </c>
      <c r="Y37" s="20">
        <v>35000</v>
      </c>
      <c r="Z37" s="31"/>
      <c r="AB37" s="31"/>
    </row>
    <row r="38" spans="2:29" ht="15" customHeight="1" x14ac:dyDescent="0.15">
      <c r="B38" s="33" t="s">
        <v>86</v>
      </c>
      <c r="C38" s="34"/>
      <c r="E38" s="27"/>
      <c r="F38" s="28"/>
      <c r="G38" s="27"/>
      <c r="H38" s="27"/>
      <c r="I38" s="27"/>
      <c r="J38" s="28"/>
      <c r="K38" s="27"/>
      <c r="L38" s="28"/>
      <c r="M38" s="27"/>
      <c r="N38" s="27"/>
      <c r="O38" s="27"/>
      <c r="P38" s="27"/>
      <c r="Q38" s="28"/>
      <c r="R38" s="32" t="s">
        <v>114</v>
      </c>
      <c r="S38" s="33"/>
      <c r="T38" s="33"/>
      <c r="V38" s="6"/>
      <c r="X38" s="30" t="s">
        <v>102</v>
      </c>
      <c r="Y38" s="20">
        <v>40000</v>
      </c>
      <c r="Z38" s="31"/>
      <c r="AB38" s="31"/>
    </row>
    <row r="39" spans="2:29" ht="15" customHeight="1" x14ac:dyDescent="0.15">
      <c r="B39" s="33" t="s">
        <v>89</v>
      </c>
      <c r="C39" s="34"/>
      <c r="E39" s="27"/>
      <c r="F39" s="28"/>
      <c r="G39" s="27"/>
      <c r="H39" s="27"/>
      <c r="I39" s="27"/>
      <c r="J39" s="28"/>
      <c r="K39" s="27"/>
      <c r="L39" s="28"/>
      <c r="M39" s="27"/>
      <c r="N39" s="27"/>
      <c r="O39" s="27"/>
      <c r="P39" s="27"/>
      <c r="Q39" s="28"/>
      <c r="R39" s="32" t="s">
        <v>115</v>
      </c>
      <c r="S39" s="33"/>
      <c r="T39" s="33"/>
      <c r="V39" s="6"/>
      <c r="X39" s="30" t="s">
        <v>102</v>
      </c>
      <c r="Y39" s="20">
        <v>45000</v>
      </c>
      <c r="Z39" s="31"/>
      <c r="AB39" s="31"/>
    </row>
    <row r="40" spans="2:29" ht="15" customHeight="1" x14ac:dyDescent="0.15">
      <c r="B40" s="33" t="s">
        <v>91</v>
      </c>
      <c r="C40" s="34"/>
      <c r="E40" s="27"/>
      <c r="F40" s="28"/>
      <c r="G40" s="27"/>
      <c r="H40" s="27"/>
      <c r="I40" s="27"/>
      <c r="J40" s="28"/>
      <c r="K40" s="27"/>
      <c r="L40" s="28"/>
      <c r="M40" s="27"/>
      <c r="N40" s="27"/>
      <c r="O40" s="27"/>
      <c r="P40" s="27"/>
      <c r="Q40" s="28"/>
      <c r="R40" s="32" t="s">
        <v>116</v>
      </c>
      <c r="S40" s="33"/>
      <c r="T40" s="33"/>
      <c r="V40" s="6"/>
      <c r="X40" s="30" t="s">
        <v>102</v>
      </c>
      <c r="Y40" s="20">
        <v>50000</v>
      </c>
      <c r="Z40" s="31"/>
      <c r="AB40" s="31"/>
    </row>
    <row r="41" spans="2:29" ht="15" customHeight="1" x14ac:dyDescent="0.15">
      <c r="B41" s="33" t="s">
        <v>93</v>
      </c>
      <c r="C41" s="34"/>
      <c r="E41" s="27"/>
      <c r="F41" s="28"/>
      <c r="G41" s="27"/>
      <c r="H41" s="27"/>
      <c r="I41" s="27"/>
      <c r="J41" s="28"/>
      <c r="K41" s="27"/>
      <c r="L41" s="28"/>
      <c r="M41" s="27"/>
      <c r="N41" s="27"/>
      <c r="O41" s="27"/>
      <c r="P41" s="27"/>
      <c r="Q41" s="28"/>
      <c r="R41" s="32" t="s">
        <v>117</v>
      </c>
      <c r="S41" s="33"/>
      <c r="T41" s="33"/>
      <c r="V41" s="6"/>
      <c r="X41" s="30" t="s">
        <v>102</v>
      </c>
      <c r="Y41" s="20">
        <v>62500</v>
      </c>
      <c r="Z41" s="31"/>
      <c r="AB41" s="31"/>
    </row>
    <row r="42" spans="2:29" ht="15" customHeight="1" x14ac:dyDescent="0.15">
      <c r="B42" s="33" t="s">
        <v>95</v>
      </c>
      <c r="C42" s="34"/>
      <c r="E42" s="27"/>
      <c r="F42" s="28"/>
      <c r="G42" s="27"/>
      <c r="H42" s="27"/>
      <c r="I42" s="27"/>
      <c r="J42" s="28"/>
      <c r="K42" s="27"/>
      <c r="L42" s="28"/>
      <c r="M42" s="27"/>
      <c r="N42" s="27"/>
      <c r="O42" s="27"/>
      <c r="P42" s="27"/>
      <c r="Q42" s="28"/>
      <c r="R42" s="32" t="s">
        <v>118</v>
      </c>
      <c r="S42" s="33"/>
      <c r="T42" s="33"/>
      <c r="V42" s="6"/>
      <c r="X42" s="30" t="s">
        <v>102</v>
      </c>
      <c r="Y42" s="20">
        <v>75000</v>
      </c>
      <c r="Z42" s="31"/>
      <c r="AB42" s="31"/>
    </row>
    <row r="43" spans="2:29" ht="15" customHeight="1" x14ac:dyDescent="0.15">
      <c r="B43" s="33" t="s">
        <v>97</v>
      </c>
      <c r="C43" s="34"/>
      <c r="E43" s="27"/>
      <c r="F43" s="28"/>
      <c r="G43" s="27"/>
      <c r="H43" s="27"/>
      <c r="I43" s="27"/>
      <c r="J43" s="28"/>
      <c r="K43" s="27"/>
      <c r="L43" s="28"/>
      <c r="M43" s="27"/>
      <c r="N43" s="27"/>
      <c r="O43" s="27"/>
      <c r="P43" s="27"/>
      <c r="Q43" s="28"/>
      <c r="R43" s="32" t="s">
        <v>119</v>
      </c>
      <c r="S43" s="33"/>
      <c r="T43" s="33"/>
      <c r="V43" s="6"/>
      <c r="X43" s="30" t="s">
        <v>102</v>
      </c>
      <c r="Y43" s="20">
        <v>87500</v>
      </c>
      <c r="Z43" s="31"/>
      <c r="AB43" s="31"/>
    </row>
    <row r="44" spans="2:29" ht="15" customHeight="1" x14ac:dyDescent="0.15">
      <c r="B44" s="33" t="s">
        <v>99</v>
      </c>
      <c r="C44" s="34"/>
      <c r="E44" s="27"/>
      <c r="F44" s="28"/>
      <c r="G44" s="27"/>
      <c r="H44" s="27"/>
      <c r="I44" s="27"/>
      <c r="J44" s="28"/>
      <c r="K44" s="27"/>
      <c r="L44" s="28"/>
      <c r="M44" s="27"/>
      <c r="N44" s="27"/>
      <c r="O44" s="27"/>
      <c r="P44" s="27"/>
      <c r="Q44" s="28"/>
      <c r="R44" s="32" t="s">
        <v>120</v>
      </c>
      <c r="S44" s="33"/>
      <c r="T44" s="33"/>
      <c r="V44" s="6"/>
      <c r="X44" s="30" t="s">
        <v>102</v>
      </c>
      <c r="Y44" s="20">
        <v>100000</v>
      </c>
      <c r="Z44" s="31"/>
      <c r="AB44" s="31"/>
    </row>
    <row r="45" spans="2:29" ht="15" customHeight="1" x14ac:dyDescent="0.15">
      <c r="B45" s="15" t="s">
        <v>121</v>
      </c>
      <c r="C45" s="35"/>
      <c r="D45" s="36"/>
      <c r="E45" s="37"/>
      <c r="F45" s="38"/>
      <c r="G45" s="37"/>
      <c r="H45" s="37"/>
      <c r="I45" s="37"/>
      <c r="J45" s="38"/>
      <c r="K45" s="37"/>
      <c r="L45" s="38"/>
      <c r="M45" s="37"/>
      <c r="N45" s="37"/>
      <c r="O45" s="37"/>
      <c r="P45" s="37"/>
      <c r="Q45" s="38"/>
      <c r="R45" s="39" t="s">
        <v>122</v>
      </c>
      <c r="S45" s="15"/>
      <c r="T45" s="15"/>
      <c r="U45" s="16"/>
      <c r="V45" s="40"/>
      <c r="W45" s="36"/>
      <c r="X45" s="41" t="s">
        <v>102</v>
      </c>
      <c r="Y45" s="36">
        <v>125000</v>
      </c>
      <c r="Z45" s="45" t="s">
        <v>123</v>
      </c>
      <c r="AA45" s="46">
        <v>0.1</v>
      </c>
      <c r="AB45" s="45"/>
      <c r="AC45" s="46"/>
    </row>
    <row r="46" spans="2:29" ht="15" customHeight="1" x14ac:dyDescent="0.15">
      <c r="B46" s="4" t="s">
        <v>124</v>
      </c>
      <c r="C46" s="19" t="s">
        <v>100</v>
      </c>
      <c r="D46" s="20" t="s">
        <v>100</v>
      </c>
      <c r="E46" s="43" t="s">
        <v>100</v>
      </c>
      <c r="F46" s="28">
        <v>10</v>
      </c>
      <c r="G46" s="29"/>
      <c r="H46" s="29"/>
      <c r="I46" s="29"/>
      <c r="J46" s="28"/>
      <c r="K46" s="27">
        <v>2525</v>
      </c>
      <c r="L46" s="28">
        <v>2</v>
      </c>
      <c r="M46" s="29">
        <v>4000</v>
      </c>
      <c r="N46" s="29">
        <v>4000</v>
      </c>
      <c r="O46" s="29">
        <v>3000</v>
      </c>
      <c r="P46" s="29">
        <v>2100</v>
      </c>
      <c r="Q46" s="28">
        <v>100</v>
      </c>
      <c r="R46" s="4" t="s">
        <v>125</v>
      </c>
      <c r="X46" s="25" t="s">
        <v>126</v>
      </c>
      <c r="Y46" s="20">
        <v>100000</v>
      </c>
    </row>
    <row r="47" spans="2:29" ht="15" customHeight="1" x14ac:dyDescent="0.15">
      <c r="B47" s="4" t="s">
        <v>127</v>
      </c>
      <c r="C47" s="19">
        <v>1.3888888888888889E-3</v>
      </c>
      <c r="D47" s="20">
        <v>1</v>
      </c>
      <c r="E47" s="27">
        <v>25</v>
      </c>
      <c r="F47" s="28">
        <v>20</v>
      </c>
      <c r="G47" s="29">
        <v>680</v>
      </c>
      <c r="H47" s="29">
        <v>680</v>
      </c>
      <c r="I47" s="29">
        <v>510</v>
      </c>
      <c r="J47" s="28">
        <v>340</v>
      </c>
      <c r="K47" s="27">
        <v>2575</v>
      </c>
      <c r="L47" s="28">
        <v>5</v>
      </c>
      <c r="M47" s="29">
        <v>1800</v>
      </c>
      <c r="N47" s="29">
        <v>1800</v>
      </c>
      <c r="O47" s="29">
        <v>1400</v>
      </c>
      <c r="P47" s="29">
        <v>900</v>
      </c>
      <c r="Q47" s="28">
        <v>200</v>
      </c>
      <c r="R47" s="4" t="s">
        <v>128</v>
      </c>
      <c r="X47" s="30" t="s">
        <v>126</v>
      </c>
      <c r="Y47" s="20">
        <v>150000</v>
      </c>
    </row>
    <row r="48" spans="2:29" ht="15" customHeight="1" x14ac:dyDescent="0.15">
      <c r="B48" s="4" t="s">
        <v>129</v>
      </c>
      <c r="C48" s="19">
        <v>2.7777777777777779E-3</v>
      </c>
      <c r="D48" s="20">
        <v>1</v>
      </c>
      <c r="E48" s="27">
        <v>50</v>
      </c>
      <c r="F48" s="28">
        <v>30</v>
      </c>
      <c r="G48" s="29">
        <v>1156</v>
      </c>
      <c r="H48" s="29">
        <v>1156</v>
      </c>
      <c r="I48" s="29">
        <v>867</v>
      </c>
      <c r="J48" s="28">
        <v>578</v>
      </c>
      <c r="K48" s="27">
        <v>2600</v>
      </c>
      <c r="L48" s="28">
        <v>10</v>
      </c>
      <c r="M48" s="29">
        <v>1900</v>
      </c>
      <c r="N48" s="29">
        <v>1900</v>
      </c>
      <c r="O48" s="29">
        <v>1500</v>
      </c>
      <c r="P48" s="29">
        <v>900</v>
      </c>
      <c r="Q48" s="28">
        <v>200</v>
      </c>
      <c r="R48" s="4" t="s">
        <v>50</v>
      </c>
      <c r="X48" s="30" t="s">
        <v>126</v>
      </c>
      <c r="Y48" s="20">
        <v>200000</v>
      </c>
    </row>
    <row r="49" spans="2:28" ht="15" customHeight="1" x14ac:dyDescent="0.15">
      <c r="B49" s="4" t="s">
        <v>130</v>
      </c>
      <c r="C49" s="19">
        <v>5.5555555555555558E-3</v>
      </c>
      <c r="D49" s="20">
        <v>70</v>
      </c>
      <c r="E49" s="27">
        <v>200</v>
      </c>
      <c r="F49" s="28">
        <v>50</v>
      </c>
      <c r="G49" s="29">
        <v>1966</v>
      </c>
      <c r="H49" s="29">
        <v>1966</v>
      </c>
      <c r="I49" s="29">
        <v>1474</v>
      </c>
      <c r="J49" s="28">
        <v>983</v>
      </c>
      <c r="K49" s="27">
        <v>2650</v>
      </c>
      <c r="L49" s="28">
        <v>20</v>
      </c>
      <c r="M49" s="29">
        <v>6900</v>
      </c>
      <c r="N49" s="29">
        <v>2500</v>
      </c>
      <c r="O49" s="29">
        <v>1900</v>
      </c>
      <c r="P49" s="29">
        <v>1200</v>
      </c>
      <c r="Q49" s="28">
        <v>1900</v>
      </c>
      <c r="R49" s="4" t="s">
        <v>52</v>
      </c>
      <c r="S49" s="33"/>
      <c r="T49" s="33"/>
      <c r="X49" s="30" t="s">
        <v>126</v>
      </c>
      <c r="Y49" s="20">
        <v>250000</v>
      </c>
    </row>
    <row r="50" spans="2:28" ht="15" customHeight="1" x14ac:dyDescent="0.15">
      <c r="B50" s="4" t="s">
        <v>131</v>
      </c>
      <c r="C50" s="19">
        <v>1.1111111111111112E-2</v>
      </c>
      <c r="D50" s="20">
        <v>70</v>
      </c>
      <c r="E50" s="27">
        <v>400</v>
      </c>
      <c r="F50" s="28">
        <v>70</v>
      </c>
      <c r="G50" s="29">
        <v>3343</v>
      </c>
      <c r="H50" s="29">
        <v>3343</v>
      </c>
      <c r="I50" s="29">
        <v>2506</v>
      </c>
      <c r="J50" s="28">
        <v>1672</v>
      </c>
      <c r="K50" s="27">
        <v>2675</v>
      </c>
      <c r="L50" s="28">
        <v>35</v>
      </c>
      <c r="M50" s="29">
        <v>3500</v>
      </c>
      <c r="N50" s="29">
        <v>3500</v>
      </c>
      <c r="O50" s="29">
        <v>2600</v>
      </c>
      <c r="P50" s="29">
        <v>1800</v>
      </c>
      <c r="Q50" s="28">
        <v>450</v>
      </c>
      <c r="R50" s="4" t="s">
        <v>54</v>
      </c>
      <c r="S50" s="33"/>
      <c r="T50" s="33"/>
      <c r="X50" s="30" t="s">
        <v>126</v>
      </c>
      <c r="Y50" s="20">
        <v>300000</v>
      </c>
    </row>
    <row r="51" spans="2:28" ht="15" customHeight="1" x14ac:dyDescent="0.15">
      <c r="B51" s="4" t="s">
        <v>132</v>
      </c>
      <c r="C51" s="19">
        <v>2.2222222222222223E-2</v>
      </c>
      <c r="D51" s="20">
        <v>130</v>
      </c>
      <c r="E51" s="27">
        <v>500</v>
      </c>
      <c r="F51" s="28">
        <v>110</v>
      </c>
      <c r="G51" s="29">
        <v>6686</v>
      </c>
      <c r="H51" s="29">
        <v>6686</v>
      </c>
      <c r="I51" s="29">
        <v>5012</v>
      </c>
      <c r="J51" s="28">
        <v>3344</v>
      </c>
      <c r="K51" s="27">
        <v>10000</v>
      </c>
      <c r="L51" s="28">
        <v>57</v>
      </c>
      <c r="M51" s="29">
        <v>5500</v>
      </c>
      <c r="N51" s="29">
        <v>5500</v>
      </c>
      <c r="O51" s="29">
        <v>4100</v>
      </c>
      <c r="P51" s="29">
        <v>2700</v>
      </c>
      <c r="Q51" s="28">
        <v>350</v>
      </c>
      <c r="R51" s="4" t="s">
        <v>57</v>
      </c>
      <c r="S51" s="33"/>
      <c r="T51" s="33"/>
      <c r="X51" s="30" t="s">
        <v>126</v>
      </c>
      <c r="Y51" s="20">
        <v>350000</v>
      </c>
    </row>
    <row r="52" spans="2:28" ht="15" customHeight="1" x14ac:dyDescent="0.15">
      <c r="B52" s="4" t="s">
        <v>133</v>
      </c>
      <c r="C52" s="19">
        <v>4.4444444444444446E-2</v>
      </c>
      <c r="D52" s="20">
        <v>130</v>
      </c>
      <c r="E52" s="27">
        <v>500</v>
      </c>
      <c r="F52" s="28">
        <v>170</v>
      </c>
      <c r="G52" s="29">
        <v>13372</v>
      </c>
      <c r="H52" s="29">
        <v>13372</v>
      </c>
      <c r="I52" s="29">
        <v>10024</v>
      </c>
      <c r="J52" s="28">
        <v>6688</v>
      </c>
      <c r="K52" s="27">
        <v>10000</v>
      </c>
      <c r="L52" s="28">
        <v>90</v>
      </c>
      <c r="M52" s="29">
        <v>9500</v>
      </c>
      <c r="N52" s="29">
        <v>9500</v>
      </c>
      <c r="O52" s="29">
        <v>7100</v>
      </c>
      <c r="P52" s="29">
        <v>4700</v>
      </c>
      <c r="Q52" s="28">
        <v>250</v>
      </c>
      <c r="R52" s="4" t="s">
        <v>61</v>
      </c>
      <c r="S52" s="33"/>
      <c r="T52" s="33"/>
      <c r="X52" s="30" t="s">
        <v>126</v>
      </c>
      <c r="Y52" s="20">
        <v>400000</v>
      </c>
    </row>
    <row r="53" spans="2:28" ht="15" customHeight="1" x14ac:dyDescent="0.15">
      <c r="B53" s="4" t="s">
        <v>134</v>
      </c>
      <c r="C53" s="19">
        <v>8.8888888888888892E-2</v>
      </c>
      <c r="D53" s="20">
        <v>300</v>
      </c>
      <c r="E53" s="27">
        <v>500</v>
      </c>
      <c r="F53" s="28">
        <v>250</v>
      </c>
      <c r="G53" s="29">
        <v>26744</v>
      </c>
      <c r="H53" s="29">
        <v>26744</v>
      </c>
      <c r="I53" s="29">
        <v>20048</v>
      </c>
      <c r="J53" s="28">
        <v>13376</v>
      </c>
      <c r="K53" s="27">
        <v>10000</v>
      </c>
      <c r="L53" s="28">
        <v>140</v>
      </c>
      <c r="M53" s="29">
        <v>16700</v>
      </c>
      <c r="N53" s="29">
        <v>16700</v>
      </c>
      <c r="O53" s="29">
        <v>12500</v>
      </c>
      <c r="P53" s="29">
        <v>8300</v>
      </c>
      <c r="Q53" s="28">
        <v>350</v>
      </c>
      <c r="R53" s="32" t="s">
        <v>135</v>
      </c>
      <c r="S53" s="33"/>
      <c r="T53" s="33"/>
      <c r="X53" s="30" t="s">
        <v>126</v>
      </c>
      <c r="Y53" s="20">
        <v>450000</v>
      </c>
    </row>
    <row r="54" spans="2:28" ht="15" customHeight="1" x14ac:dyDescent="0.15">
      <c r="B54" s="4" t="s">
        <v>136</v>
      </c>
      <c r="C54" s="19">
        <v>0.17777777777777778</v>
      </c>
      <c r="D54" s="20">
        <v>300</v>
      </c>
      <c r="E54" s="27">
        <v>500</v>
      </c>
      <c r="F54" s="28">
        <v>380</v>
      </c>
      <c r="G54" s="29">
        <v>53488</v>
      </c>
      <c r="H54" s="29">
        <v>53488</v>
      </c>
      <c r="I54" s="29">
        <v>40096</v>
      </c>
      <c r="J54" s="28">
        <v>26752</v>
      </c>
      <c r="K54" s="27">
        <v>30000</v>
      </c>
      <c r="L54" s="28">
        <v>217</v>
      </c>
      <c r="M54" s="29">
        <v>29700</v>
      </c>
      <c r="N54" s="29">
        <v>29700</v>
      </c>
      <c r="O54" s="29">
        <v>22200</v>
      </c>
      <c r="P54" s="29">
        <v>14800</v>
      </c>
      <c r="Q54" s="28">
        <v>450</v>
      </c>
      <c r="R54" s="32" t="s">
        <v>67</v>
      </c>
      <c r="S54" s="33"/>
      <c r="T54" s="33"/>
      <c r="X54" s="30" t="s">
        <v>126</v>
      </c>
      <c r="Y54" s="20">
        <v>500000</v>
      </c>
    </row>
    <row r="55" spans="2:28" ht="15" customHeight="1" x14ac:dyDescent="0.15">
      <c r="B55" s="4" t="s">
        <v>137</v>
      </c>
      <c r="C55" s="19">
        <v>0.35555555555555557</v>
      </c>
      <c r="D55" s="20">
        <v>650</v>
      </c>
      <c r="E55" s="27">
        <v>500</v>
      </c>
      <c r="F55" s="28">
        <v>570</v>
      </c>
      <c r="G55" s="29">
        <v>80232</v>
      </c>
      <c r="H55" s="29">
        <v>80232</v>
      </c>
      <c r="I55" s="29">
        <v>60144</v>
      </c>
      <c r="J55" s="28">
        <v>40128</v>
      </c>
      <c r="K55" s="27">
        <v>30000</v>
      </c>
      <c r="L55" s="28">
        <v>325</v>
      </c>
      <c r="M55" s="29">
        <v>16046</v>
      </c>
      <c r="N55" s="29">
        <v>16046</v>
      </c>
      <c r="O55" s="29">
        <v>12028</v>
      </c>
      <c r="P55" s="29">
        <v>8025</v>
      </c>
      <c r="Q55" s="28">
        <v>325</v>
      </c>
      <c r="R55" s="32" t="s">
        <v>71</v>
      </c>
      <c r="S55" s="33"/>
      <c r="T55" s="33"/>
      <c r="X55" s="30" t="s">
        <v>126</v>
      </c>
      <c r="Y55" s="20">
        <v>550000</v>
      </c>
    </row>
    <row r="56" spans="2:28" ht="15" customHeight="1" x14ac:dyDescent="0.15">
      <c r="B56" s="4" t="s">
        <v>138</v>
      </c>
      <c r="C56" s="19">
        <v>0.42666666666666669</v>
      </c>
      <c r="D56" s="20">
        <v>650</v>
      </c>
      <c r="E56" s="27">
        <v>500</v>
      </c>
      <c r="F56" s="28">
        <v>860</v>
      </c>
      <c r="G56" s="29">
        <v>120348</v>
      </c>
      <c r="H56" s="29">
        <v>120348</v>
      </c>
      <c r="I56" s="29">
        <v>90216</v>
      </c>
      <c r="J56" s="28">
        <v>60192</v>
      </c>
      <c r="K56" s="27">
        <v>60000</v>
      </c>
      <c r="L56" s="28">
        <v>500</v>
      </c>
      <c r="M56" s="29">
        <v>21881</v>
      </c>
      <c r="N56" s="29">
        <v>21881</v>
      </c>
      <c r="O56" s="29">
        <v>16402</v>
      </c>
      <c r="P56" s="29">
        <v>10944</v>
      </c>
      <c r="Q56" s="28">
        <v>235</v>
      </c>
      <c r="R56" s="32" t="s">
        <v>75</v>
      </c>
      <c r="S56" s="33"/>
      <c r="T56" s="33"/>
      <c r="X56" s="30" t="s">
        <v>126</v>
      </c>
      <c r="Y56" s="20">
        <v>600000</v>
      </c>
    </row>
    <row r="57" spans="2:28" ht="15" customHeight="1" x14ac:dyDescent="0.15">
      <c r="B57" s="4" t="s">
        <v>139</v>
      </c>
      <c r="E57" s="27"/>
      <c r="F57" s="28"/>
      <c r="G57" s="29"/>
      <c r="H57" s="29"/>
      <c r="I57" s="29"/>
      <c r="J57" s="28"/>
      <c r="K57" s="27"/>
      <c r="L57" s="28"/>
      <c r="M57" s="29"/>
      <c r="N57" s="29"/>
      <c r="O57" s="29"/>
      <c r="P57" s="29"/>
      <c r="Q57" s="28"/>
      <c r="R57" s="32" t="s">
        <v>79</v>
      </c>
      <c r="S57" s="33"/>
      <c r="T57" s="33"/>
      <c r="X57" s="30" t="s">
        <v>126</v>
      </c>
      <c r="Y57" s="20">
        <v>650000</v>
      </c>
    </row>
    <row r="58" spans="2:28" ht="15" customHeight="1" x14ac:dyDescent="0.15">
      <c r="B58" s="4" t="s">
        <v>140</v>
      </c>
      <c r="E58" s="27"/>
      <c r="F58" s="28"/>
      <c r="G58" s="29"/>
      <c r="H58" s="29"/>
      <c r="I58" s="29"/>
      <c r="J58" s="28"/>
      <c r="K58" s="27"/>
      <c r="L58" s="28"/>
      <c r="M58" s="29"/>
      <c r="N58" s="29"/>
      <c r="O58" s="29"/>
      <c r="P58" s="29"/>
      <c r="Q58" s="28"/>
      <c r="R58" s="32" t="s">
        <v>81</v>
      </c>
      <c r="S58" s="33"/>
      <c r="T58" s="33"/>
      <c r="X58" s="30" t="s">
        <v>126</v>
      </c>
      <c r="Y58" s="20">
        <v>700000</v>
      </c>
    </row>
    <row r="59" spans="2:28" ht="15" customHeight="1" x14ac:dyDescent="0.15">
      <c r="B59" s="4" t="s">
        <v>141</v>
      </c>
      <c r="E59" s="27"/>
      <c r="F59" s="28"/>
      <c r="G59" s="29"/>
      <c r="H59" s="29"/>
      <c r="I59" s="29"/>
      <c r="J59" s="28"/>
      <c r="K59" s="27"/>
      <c r="L59" s="28"/>
      <c r="M59" s="29"/>
      <c r="N59" s="29"/>
      <c r="O59" s="29"/>
      <c r="P59" s="29"/>
      <c r="Q59" s="28"/>
      <c r="R59" s="32" t="s">
        <v>83</v>
      </c>
      <c r="S59" s="33"/>
      <c r="T59" s="33"/>
      <c r="X59" s="30" t="s">
        <v>126</v>
      </c>
      <c r="Y59" s="20">
        <v>750000</v>
      </c>
    </row>
    <row r="60" spans="2:28" ht="15" customHeight="1" x14ac:dyDescent="0.15">
      <c r="B60" s="4" t="s">
        <v>142</v>
      </c>
      <c r="E60" s="27"/>
      <c r="F60" s="28"/>
      <c r="G60" s="29"/>
      <c r="H60" s="29"/>
      <c r="I60" s="29"/>
      <c r="J60" s="28"/>
      <c r="K60" s="27"/>
      <c r="L60" s="28"/>
      <c r="M60" s="29"/>
      <c r="N60" s="29"/>
      <c r="O60" s="29"/>
      <c r="P60" s="29"/>
      <c r="Q60" s="28"/>
      <c r="R60" s="32" t="s">
        <v>85</v>
      </c>
      <c r="S60" s="33"/>
      <c r="T60" s="33"/>
      <c r="X60" s="30" t="s">
        <v>126</v>
      </c>
      <c r="Y60" s="20">
        <v>800000</v>
      </c>
    </row>
    <row r="61" spans="2:28" ht="15" customHeight="1" x14ac:dyDescent="0.15">
      <c r="B61" s="4" t="s">
        <v>143</v>
      </c>
      <c r="E61" s="27"/>
      <c r="F61" s="28"/>
      <c r="G61" s="29"/>
      <c r="H61" s="29"/>
      <c r="I61" s="29"/>
      <c r="J61" s="28"/>
      <c r="K61" s="27"/>
      <c r="L61" s="28"/>
      <c r="M61" s="29"/>
      <c r="N61" s="29"/>
      <c r="O61" s="29"/>
      <c r="P61" s="29"/>
      <c r="Q61" s="28"/>
      <c r="R61" s="32" t="s">
        <v>88</v>
      </c>
      <c r="S61" s="33"/>
      <c r="T61" s="33"/>
      <c r="X61" s="30" t="s">
        <v>126</v>
      </c>
      <c r="Y61" s="20">
        <v>850000</v>
      </c>
    </row>
    <row r="62" spans="2:28" ht="15" customHeight="1" x14ac:dyDescent="0.15">
      <c r="B62" s="4" t="s">
        <v>144</v>
      </c>
      <c r="E62" s="27"/>
      <c r="F62" s="28"/>
      <c r="G62" s="29"/>
      <c r="H62" s="29"/>
      <c r="I62" s="29"/>
      <c r="J62" s="28"/>
      <c r="K62" s="27"/>
      <c r="L62" s="28"/>
      <c r="M62" s="29"/>
      <c r="N62" s="29"/>
      <c r="O62" s="29"/>
      <c r="P62" s="29"/>
      <c r="Q62" s="28"/>
      <c r="R62" s="32" t="s">
        <v>90</v>
      </c>
      <c r="S62" s="33"/>
      <c r="T62" s="33"/>
      <c r="X62" s="30" t="s">
        <v>126</v>
      </c>
      <c r="Y62" s="20">
        <v>900000</v>
      </c>
    </row>
    <row r="63" spans="2:28" ht="15" customHeight="1" x14ac:dyDescent="0.15">
      <c r="B63" s="33" t="s">
        <v>145</v>
      </c>
      <c r="C63" s="34"/>
      <c r="E63" s="27"/>
      <c r="F63" s="28"/>
      <c r="G63" s="27"/>
      <c r="H63" s="27"/>
      <c r="I63" s="27"/>
      <c r="J63" s="28"/>
      <c r="K63" s="27"/>
      <c r="L63" s="28"/>
      <c r="M63" s="27"/>
      <c r="N63" s="27"/>
      <c r="O63" s="27"/>
      <c r="P63" s="27"/>
      <c r="Q63" s="28"/>
      <c r="R63" s="32" t="s">
        <v>92</v>
      </c>
      <c r="S63" s="33"/>
      <c r="T63" s="33"/>
      <c r="V63" s="6"/>
      <c r="X63" s="30" t="s">
        <v>126</v>
      </c>
      <c r="Y63" s="20">
        <v>950000</v>
      </c>
      <c r="Z63" s="31"/>
      <c r="AB63" s="31"/>
    </row>
    <row r="64" spans="2:28" ht="15" customHeight="1" x14ac:dyDescent="0.15">
      <c r="B64" s="33" t="s">
        <v>146</v>
      </c>
      <c r="C64" s="34"/>
      <c r="E64" s="27"/>
      <c r="F64" s="28"/>
      <c r="G64" s="27"/>
      <c r="H64" s="27"/>
      <c r="I64" s="27"/>
      <c r="J64" s="28"/>
      <c r="K64" s="27"/>
      <c r="L64" s="28"/>
      <c r="M64" s="27"/>
      <c r="N64" s="27"/>
      <c r="O64" s="27"/>
      <c r="P64" s="27"/>
      <c r="Q64" s="28"/>
      <c r="R64" s="32" t="s">
        <v>94</v>
      </c>
      <c r="S64" s="33"/>
      <c r="T64" s="33"/>
      <c r="V64" s="6"/>
      <c r="X64" s="30" t="s">
        <v>126</v>
      </c>
      <c r="Y64" s="20">
        <v>1000000</v>
      </c>
      <c r="Z64" s="31"/>
      <c r="AB64" s="31"/>
    </row>
    <row r="65" spans="2:29" ht="15" customHeight="1" x14ac:dyDescent="0.15">
      <c r="B65" s="33" t="s">
        <v>147</v>
      </c>
      <c r="C65" s="34"/>
      <c r="E65" s="27"/>
      <c r="F65" s="28"/>
      <c r="G65" s="27"/>
      <c r="H65" s="27"/>
      <c r="I65" s="27"/>
      <c r="J65" s="28"/>
      <c r="K65" s="27"/>
      <c r="L65" s="28"/>
      <c r="M65" s="27"/>
      <c r="N65" s="27"/>
      <c r="O65" s="27"/>
      <c r="P65" s="27"/>
      <c r="Q65" s="28"/>
      <c r="R65" s="32" t="s">
        <v>96</v>
      </c>
      <c r="S65" s="33"/>
      <c r="T65" s="33"/>
      <c r="V65" s="6"/>
      <c r="X65" s="30" t="s">
        <v>126</v>
      </c>
      <c r="Y65" s="20">
        <v>1100000</v>
      </c>
      <c r="Z65" s="31"/>
      <c r="AB65" s="31"/>
    </row>
    <row r="66" spans="2:29" ht="15" customHeight="1" x14ac:dyDescent="0.15">
      <c r="B66" s="15" t="s">
        <v>148</v>
      </c>
      <c r="C66" s="35"/>
      <c r="D66" s="36"/>
      <c r="E66" s="37"/>
      <c r="F66" s="38"/>
      <c r="G66" s="37"/>
      <c r="H66" s="37"/>
      <c r="I66" s="37"/>
      <c r="J66" s="38"/>
      <c r="K66" s="37"/>
      <c r="L66" s="38"/>
      <c r="M66" s="37"/>
      <c r="N66" s="37"/>
      <c r="O66" s="37"/>
      <c r="P66" s="37"/>
      <c r="Q66" s="38"/>
      <c r="R66" s="39" t="s">
        <v>98</v>
      </c>
      <c r="S66" s="15"/>
      <c r="T66" s="15"/>
      <c r="U66" s="16"/>
      <c r="V66" s="40"/>
      <c r="W66" s="36"/>
      <c r="X66" s="41" t="s">
        <v>126</v>
      </c>
      <c r="Y66" s="36">
        <v>2000000</v>
      </c>
      <c r="Z66" s="45" t="s">
        <v>149</v>
      </c>
      <c r="AA66" s="36"/>
      <c r="AB66" s="45"/>
      <c r="AC66" s="46"/>
    </row>
    <row r="67" spans="2:29" ht="15" customHeight="1" x14ac:dyDescent="0.15">
      <c r="B67" s="4" t="s">
        <v>151</v>
      </c>
      <c r="C67" s="19">
        <v>6.9444444444444447E-4</v>
      </c>
      <c r="D67" s="20">
        <v>1</v>
      </c>
      <c r="E67" s="27">
        <v>10</v>
      </c>
      <c r="F67" s="28">
        <v>5</v>
      </c>
      <c r="G67" s="29">
        <v>100</v>
      </c>
      <c r="H67" s="29">
        <v>100</v>
      </c>
      <c r="I67" s="29">
        <v>100</v>
      </c>
      <c r="J67" s="28"/>
      <c r="K67" s="27">
        <v>2525</v>
      </c>
      <c r="L67" s="28">
        <v>2</v>
      </c>
      <c r="M67" s="29"/>
      <c r="N67" s="29"/>
      <c r="O67" s="29"/>
      <c r="P67" s="29">
        <v>3000</v>
      </c>
      <c r="Q67" s="28"/>
      <c r="V67" s="3">
        <v>50</v>
      </c>
      <c r="W67" s="20">
        <v>2500</v>
      </c>
    </row>
    <row r="68" spans="2:29" ht="15" customHeight="1" x14ac:dyDescent="0.15">
      <c r="B68" s="4" t="s">
        <v>153</v>
      </c>
      <c r="C68" s="19">
        <v>1.1574074074074073E-3</v>
      </c>
      <c r="D68" s="20">
        <v>1</v>
      </c>
      <c r="E68" s="27">
        <v>25</v>
      </c>
      <c r="F68" s="28">
        <v>10</v>
      </c>
      <c r="G68" s="29">
        <v>170</v>
      </c>
      <c r="H68" s="29">
        <v>170</v>
      </c>
      <c r="I68" s="29">
        <v>170</v>
      </c>
      <c r="J68" s="28"/>
      <c r="K68" s="27">
        <v>2575</v>
      </c>
      <c r="L68" s="28">
        <v>2</v>
      </c>
      <c r="M68" s="29"/>
      <c r="N68" s="29"/>
      <c r="O68" s="29"/>
      <c r="P68" s="29">
        <v>5000</v>
      </c>
      <c r="Q68" s="28"/>
      <c r="V68" s="3">
        <v>150</v>
      </c>
      <c r="W68" s="20">
        <v>7500</v>
      </c>
    </row>
    <row r="69" spans="2:29" ht="15" customHeight="1" x14ac:dyDescent="0.15">
      <c r="B69" s="4" t="s">
        <v>154</v>
      </c>
      <c r="C69" s="19">
        <v>2.3148148148148151E-3</v>
      </c>
      <c r="D69" s="20">
        <v>1</v>
      </c>
      <c r="E69" s="27">
        <v>50</v>
      </c>
      <c r="F69" s="28">
        <v>15</v>
      </c>
      <c r="G69" s="29">
        <v>289</v>
      </c>
      <c r="H69" s="29">
        <v>289</v>
      </c>
      <c r="I69" s="29">
        <v>289</v>
      </c>
      <c r="J69" s="28"/>
      <c r="K69" s="27">
        <v>2600</v>
      </c>
      <c r="L69" s="28">
        <v>5</v>
      </c>
      <c r="M69" s="29"/>
      <c r="N69" s="29"/>
      <c r="O69" s="29"/>
      <c r="P69" s="29">
        <v>6300</v>
      </c>
      <c r="Q69" s="28"/>
      <c r="V69" s="3">
        <v>300</v>
      </c>
      <c r="W69" s="20">
        <v>15000</v>
      </c>
    </row>
    <row r="70" spans="2:29" ht="15" customHeight="1" x14ac:dyDescent="0.15">
      <c r="B70" s="4" t="s">
        <v>155</v>
      </c>
      <c r="C70" s="19">
        <v>4.6296296296296302E-3</v>
      </c>
      <c r="D70" s="20">
        <v>1</v>
      </c>
      <c r="E70" s="27">
        <v>200</v>
      </c>
      <c r="F70" s="28">
        <v>25</v>
      </c>
      <c r="G70" s="29">
        <v>492</v>
      </c>
      <c r="H70" s="29">
        <v>492</v>
      </c>
      <c r="I70" s="29">
        <v>492</v>
      </c>
      <c r="J70" s="28"/>
      <c r="K70" s="27">
        <v>2650</v>
      </c>
      <c r="L70" s="28">
        <v>10</v>
      </c>
      <c r="M70" s="29">
        <v>1200</v>
      </c>
      <c r="N70" s="29">
        <v>1200</v>
      </c>
      <c r="O70" s="29">
        <v>1200</v>
      </c>
      <c r="P70" s="29">
        <v>6400</v>
      </c>
      <c r="Q70" s="28">
        <v>50</v>
      </c>
      <c r="V70" s="3">
        <v>500</v>
      </c>
      <c r="W70" s="20">
        <v>25000</v>
      </c>
    </row>
    <row r="71" spans="2:29" ht="15" customHeight="1" x14ac:dyDescent="0.15">
      <c r="B71" s="4" t="s">
        <v>156</v>
      </c>
      <c r="C71" s="19">
        <v>9.2592592592592605E-3</v>
      </c>
      <c r="D71" s="20">
        <v>70</v>
      </c>
      <c r="E71" s="27">
        <v>400</v>
      </c>
      <c r="F71" s="28">
        <v>35</v>
      </c>
      <c r="G71" s="29">
        <v>837</v>
      </c>
      <c r="H71" s="29">
        <v>837</v>
      </c>
      <c r="I71" s="29">
        <v>837</v>
      </c>
      <c r="J71" s="28"/>
      <c r="K71" s="27">
        <v>2675</v>
      </c>
      <c r="L71" s="28">
        <v>17</v>
      </c>
      <c r="M71" s="29">
        <v>1800</v>
      </c>
      <c r="N71" s="29">
        <v>1800</v>
      </c>
      <c r="O71" s="29">
        <v>1800</v>
      </c>
      <c r="P71" s="29"/>
      <c r="Q71" s="28">
        <v>50</v>
      </c>
      <c r="V71" s="3">
        <v>750</v>
      </c>
      <c r="W71" s="20">
        <v>37500</v>
      </c>
    </row>
    <row r="72" spans="2:29" ht="15" customHeight="1" x14ac:dyDescent="0.15">
      <c r="B72" s="4" t="s">
        <v>157</v>
      </c>
      <c r="C72" s="19">
        <v>1.8518518518518521E-2</v>
      </c>
      <c r="D72" s="20">
        <v>130</v>
      </c>
      <c r="E72" s="27">
        <v>500</v>
      </c>
      <c r="F72" s="28">
        <v>55</v>
      </c>
      <c r="G72" s="29">
        <v>1674</v>
      </c>
      <c r="H72" s="29">
        <v>1674</v>
      </c>
      <c r="I72" s="29">
        <v>1674</v>
      </c>
      <c r="J72" s="28"/>
      <c r="K72" s="27">
        <v>2500</v>
      </c>
      <c r="L72" s="28">
        <v>27</v>
      </c>
      <c r="M72" s="29">
        <v>1300</v>
      </c>
      <c r="N72" s="29">
        <v>1300</v>
      </c>
      <c r="O72" s="29">
        <v>1300</v>
      </c>
      <c r="P72" s="29"/>
      <c r="Q72" s="28">
        <v>100</v>
      </c>
      <c r="R72" s="32" t="s">
        <v>159</v>
      </c>
      <c r="V72" s="3">
        <v>1050</v>
      </c>
      <c r="W72" s="20">
        <v>52500</v>
      </c>
    </row>
    <row r="73" spans="2:29" ht="15" customHeight="1" x14ac:dyDescent="0.15">
      <c r="B73" s="4" t="s">
        <v>160</v>
      </c>
      <c r="C73" s="19">
        <v>3.7037037037037042E-2</v>
      </c>
      <c r="D73" s="20">
        <v>130</v>
      </c>
      <c r="E73" s="27">
        <v>500</v>
      </c>
      <c r="F73" s="28">
        <v>85</v>
      </c>
      <c r="G73" s="29">
        <v>3348</v>
      </c>
      <c r="H73" s="29">
        <v>3348</v>
      </c>
      <c r="I73" s="29">
        <v>3348</v>
      </c>
      <c r="J73" s="28"/>
      <c r="K73" s="27">
        <v>2500</v>
      </c>
      <c r="L73" s="28">
        <v>45</v>
      </c>
      <c r="M73" s="29">
        <v>2300</v>
      </c>
      <c r="N73" s="29">
        <v>2300</v>
      </c>
      <c r="O73" s="29">
        <v>2300</v>
      </c>
      <c r="P73" s="29"/>
      <c r="Q73" s="28">
        <v>50</v>
      </c>
      <c r="R73" s="32" t="s">
        <v>61</v>
      </c>
      <c r="V73" s="3">
        <v>1400</v>
      </c>
      <c r="W73" s="20">
        <v>87500</v>
      </c>
    </row>
    <row r="74" spans="2:29" ht="15" customHeight="1" x14ac:dyDescent="0.15">
      <c r="B74" s="4" t="s">
        <v>161</v>
      </c>
      <c r="C74" s="19">
        <v>7.407407407407407E-2</v>
      </c>
      <c r="D74" s="20">
        <v>300</v>
      </c>
      <c r="E74" s="27">
        <v>500</v>
      </c>
      <c r="F74" s="28">
        <v>125</v>
      </c>
      <c r="G74" s="29">
        <v>6696</v>
      </c>
      <c r="H74" s="29">
        <v>6696</v>
      </c>
      <c r="I74" s="29">
        <v>6696</v>
      </c>
      <c r="J74" s="28"/>
      <c r="K74" s="27">
        <v>2500</v>
      </c>
      <c r="L74" s="28">
        <v>70</v>
      </c>
      <c r="M74" s="29">
        <v>4100</v>
      </c>
      <c r="N74" s="29">
        <v>4100</v>
      </c>
      <c r="O74" s="29">
        <v>4100</v>
      </c>
      <c r="P74" s="29"/>
      <c r="Q74" s="28">
        <v>100</v>
      </c>
      <c r="R74" s="32" t="s">
        <v>64</v>
      </c>
      <c r="V74" s="3">
        <v>1800</v>
      </c>
      <c r="W74" s="20">
        <v>127500</v>
      </c>
    </row>
    <row r="75" spans="2:29" ht="15" customHeight="1" x14ac:dyDescent="0.15">
      <c r="B75" s="4" t="s">
        <v>162</v>
      </c>
      <c r="C75" s="19">
        <v>0.14814814814814814</v>
      </c>
      <c r="D75" s="20">
        <v>300</v>
      </c>
      <c r="E75" s="27">
        <v>500</v>
      </c>
      <c r="F75" s="28">
        <v>190</v>
      </c>
      <c r="G75" s="29">
        <v>13392</v>
      </c>
      <c r="H75" s="29">
        <v>13392</v>
      </c>
      <c r="I75" s="29">
        <v>13392</v>
      </c>
      <c r="J75" s="28"/>
      <c r="K75" s="27">
        <v>10000</v>
      </c>
      <c r="L75" s="28">
        <v>107</v>
      </c>
      <c r="M75" s="29">
        <v>7400</v>
      </c>
      <c r="N75" s="29">
        <v>7400</v>
      </c>
      <c r="O75" s="29">
        <v>7400</v>
      </c>
      <c r="P75" s="29"/>
      <c r="Q75" s="28">
        <v>150</v>
      </c>
      <c r="R75" s="32" t="s">
        <v>67</v>
      </c>
      <c r="V75" s="3">
        <v>2250</v>
      </c>
      <c r="W75" s="20">
        <v>172500</v>
      </c>
    </row>
    <row r="76" spans="2:29" ht="15" customHeight="1" x14ac:dyDescent="0.15">
      <c r="B76" s="4" t="s">
        <v>163</v>
      </c>
      <c r="C76" s="19">
        <v>0.29629629629629628</v>
      </c>
      <c r="D76" s="20">
        <v>650</v>
      </c>
      <c r="E76" s="27">
        <v>500</v>
      </c>
      <c r="F76" s="28">
        <v>285</v>
      </c>
      <c r="G76" s="29">
        <v>20088</v>
      </c>
      <c r="H76" s="29">
        <v>20088</v>
      </c>
      <c r="I76" s="29">
        <v>20088</v>
      </c>
      <c r="J76" s="28"/>
      <c r="K76" s="27">
        <v>10000</v>
      </c>
      <c r="L76" s="28">
        <v>165</v>
      </c>
      <c r="M76" s="29">
        <v>4017</v>
      </c>
      <c r="N76" s="29">
        <v>4017</v>
      </c>
      <c r="O76" s="29">
        <v>4017</v>
      </c>
      <c r="P76" s="29"/>
      <c r="Q76" s="28">
        <v>100</v>
      </c>
      <c r="R76" s="32" t="s">
        <v>71</v>
      </c>
      <c r="V76" s="3">
        <v>2750</v>
      </c>
      <c r="W76" s="20">
        <v>222500</v>
      </c>
    </row>
    <row r="77" spans="2:29" ht="15" customHeight="1" x14ac:dyDescent="0.15">
      <c r="B77" s="4" t="s">
        <v>164</v>
      </c>
      <c r="C77" s="19">
        <v>0.35555555555555557</v>
      </c>
      <c r="D77" s="20">
        <v>650</v>
      </c>
      <c r="E77" s="27">
        <v>500</v>
      </c>
      <c r="F77" s="28">
        <v>430</v>
      </c>
      <c r="G77" s="29">
        <v>30132</v>
      </c>
      <c r="H77" s="29">
        <v>30132</v>
      </c>
      <c r="I77" s="29">
        <v>30132</v>
      </c>
      <c r="J77" s="28"/>
      <c r="K77" s="27">
        <v>20000</v>
      </c>
      <c r="L77" s="28">
        <v>250</v>
      </c>
      <c r="M77" s="29">
        <v>5478</v>
      </c>
      <c r="N77" s="29">
        <v>5478</v>
      </c>
      <c r="O77" s="29">
        <v>5478</v>
      </c>
      <c r="P77" s="29"/>
      <c r="Q77" s="28">
        <v>80</v>
      </c>
      <c r="R77" s="32" t="s">
        <v>75</v>
      </c>
      <c r="V77" s="3">
        <v>3300</v>
      </c>
      <c r="W77" s="20">
        <v>277500</v>
      </c>
    </row>
    <row r="78" spans="2:29" ht="15" customHeight="1" x14ac:dyDescent="0.15">
      <c r="B78" s="4" t="s">
        <v>165</v>
      </c>
      <c r="E78" s="27"/>
      <c r="F78" s="28"/>
      <c r="G78" s="29"/>
      <c r="H78" s="29"/>
      <c r="I78" s="29"/>
      <c r="J78" s="28"/>
      <c r="K78" s="27"/>
      <c r="L78" s="28"/>
      <c r="M78" s="29"/>
      <c r="N78" s="29"/>
      <c r="O78" s="29"/>
      <c r="P78" s="29"/>
      <c r="Q78" s="28"/>
      <c r="R78" s="32" t="s">
        <v>79</v>
      </c>
      <c r="V78" s="3">
        <v>3900</v>
      </c>
      <c r="W78" s="20">
        <v>337500</v>
      </c>
    </row>
    <row r="79" spans="2:29" ht="15" customHeight="1" x14ac:dyDescent="0.15">
      <c r="B79" s="4" t="s">
        <v>166</v>
      </c>
      <c r="E79" s="27"/>
      <c r="F79" s="28"/>
      <c r="G79" s="29"/>
      <c r="H79" s="29"/>
      <c r="I79" s="29"/>
      <c r="J79" s="28"/>
      <c r="K79" s="27"/>
      <c r="L79" s="28"/>
      <c r="M79" s="29"/>
      <c r="N79" s="29"/>
      <c r="O79" s="29"/>
      <c r="P79" s="29"/>
      <c r="Q79" s="28"/>
      <c r="R79" s="32" t="s">
        <v>81</v>
      </c>
      <c r="V79" s="3">
        <v>4550</v>
      </c>
      <c r="W79" s="20">
        <v>402500</v>
      </c>
    </row>
    <row r="80" spans="2:29" ht="15" customHeight="1" x14ac:dyDescent="0.15">
      <c r="B80" s="4" t="s">
        <v>167</v>
      </c>
      <c r="E80" s="27"/>
      <c r="F80" s="28"/>
      <c r="G80" s="29"/>
      <c r="H80" s="29"/>
      <c r="I80" s="29"/>
      <c r="J80" s="28"/>
      <c r="K80" s="27"/>
      <c r="L80" s="28"/>
      <c r="M80" s="29"/>
      <c r="N80" s="29"/>
      <c r="O80" s="29"/>
      <c r="P80" s="29"/>
      <c r="Q80" s="28"/>
      <c r="R80" s="32" t="s">
        <v>83</v>
      </c>
      <c r="V80" s="3">
        <v>5250</v>
      </c>
      <c r="W80" s="20">
        <v>507500</v>
      </c>
    </row>
    <row r="81" spans="2:35" ht="15" customHeight="1" x14ac:dyDescent="0.15">
      <c r="B81" s="4" t="s">
        <v>168</v>
      </c>
      <c r="E81" s="27"/>
      <c r="F81" s="28"/>
      <c r="G81" s="29"/>
      <c r="H81" s="29"/>
      <c r="I81" s="29"/>
      <c r="J81" s="28"/>
      <c r="K81" s="27"/>
      <c r="L81" s="28"/>
      <c r="M81" s="29"/>
      <c r="N81" s="29"/>
      <c r="O81" s="29"/>
      <c r="P81" s="29"/>
      <c r="Q81" s="28"/>
      <c r="R81" s="32" t="s">
        <v>85</v>
      </c>
      <c r="V81" s="3">
        <v>6000</v>
      </c>
      <c r="W81" s="20">
        <v>620000</v>
      </c>
    </row>
    <row r="82" spans="2:35" ht="15" customHeight="1" x14ac:dyDescent="0.15">
      <c r="B82" s="4" t="s">
        <v>169</v>
      </c>
      <c r="E82" s="27"/>
      <c r="F82" s="28"/>
      <c r="G82" s="29"/>
      <c r="H82" s="29"/>
      <c r="I82" s="29"/>
      <c r="J82" s="28"/>
      <c r="K82" s="27"/>
      <c r="L82" s="28"/>
      <c r="M82" s="29"/>
      <c r="N82" s="29"/>
      <c r="O82" s="29"/>
      <c r="P82" s="29"/>
      <c r="Q82" s="28"/>
      <c r="R82" s="32" t="s">
        <v>88</v>
      </c>
      <c r="V82" s="3">
        <v>6800</v>
      </c>
      <c r="W82" s="20">
        <v>740000</v>
      </c>
    </row>
    <row r="83" spans="2:35" ht="15" customHeight="1" x14ac:dyDescent="0.15">
      <c r="B83" s="4" t="s">
        <v>170</v>
      </c>
      <c r="E83" s="27"/>
      <c r="F83" s="28"/>
      <c r="G83" s="29"/>
      <c r="H83" s="29"/>
      <c r="I83" s="29"/>
      <c r="J83" s="28"/>
      <c r="K83" s="27"/>
      <c r="L83" s="28"/>
      <c r="M83" s="29"/>
      <c r="N83" s="29"/>
      <c r="O83" s="29"/>
      <c r="P83" s="29"/>
      <c r="Q83" s="28"/>
      <c r="R83" s="32" t="s">
        <v>90</v>
      </c>
      <c r="V83" s="3">
        <v>7650</v>
      </c>
      <c r="W83" s="20">
        <v>867500</v>
      </c>
    </row>
    <row r="84" spans="2:35" ht="15" customHeight="1" x14ac:dyDescent="0.15">
      <c r="B84" s="33" t="s">
        <v>171</v>
      </c>
      <c r="C84" s="34"/>
      <c r="E84" s="27"/>
      <c r="F84" s="28"/>
      <c r="G84" s="27"/>
      <c r="H84" s="27"/>
      <c r="I84" s="27"/>
      <c r="J84" s="28"/>
      <c r="K84" s="27"/>
      <c r="L84" s="28"/>
      <c r="M84" s="27"/>
      <c r="N84" s="27"/>
      <c r="O84" s="27"/>
      <c r="P84" s="27"/>
      <c r="Q84" s="28"/>
      <c r="R84" s="32" t="s">
        <v>92</v>
      </c>
      <c r="V84" s="6">
        <v>8550</v>
      </c>
      <c r="W84" s="20">
        <v>1002500</v>
      </c>
      <c r="X84" s="31"/>
      <c r="Z84" s="31"/>
      <c r="AB84" s="31"/>
    </row>
    <row r="85" spans="2:35" ht="15" customHeight="1" x14ac:dyDescent="0.15">
      <c r="B85" s="33" t="s">
        <v>172</v>
      </c>
      <c r="C85" s="34"/>
      <c r="E85" s="27"/>
      <c r="F85" s="28"/>
      <c r="G85" s="27"/>
      <c r="H85" s="27"/>
      <c r="I85" s="27"/>
      <c r="J85" s="28"/>
      <c r="K85" s="27"/>
      <c r="L85" s="28"/>
      <c r="M85" s="27"/>
      <c r="N85" s="27"/>
      <c r="O85" s="27"/>
      <c r="P85" s="27"/>
      <c r="Q85" s="28"/>
      <c r="R85" s="32" t="s">
        <v>94</v>
      </c>
      <c r="V85" s="6">
        <v>9500</v>
      </c>
      <c r="W85" s="20">
        <v>1145000</v>
      </c>
      <c r="X85" s="31"/>
      <c r="Z85" s="31"/>
      <c r="AB85" s="31"/>
    </row>
    <row r="86" spans="2:35" ht="15" customHeight="1" x14ac:dyDescent="0.15">
      <c r="B86" s="33" t="s">
        <v>173</v>
      </c>
      <c r="C86" s="34"/>
      <c r="E86" s="27"/>
      <c r="F86" s="28"/>
      <c r="G86" s="27"/>
      <c r="H86" s="27"/>
      <c r="I86" s="27"/>
      <c r="J86" s="28"/>
      <c r="K86" s="27"/>
      <c r="L86" s="28"/>
      <c r="M86" s="27"/>
      <c r="N86" s="27"/>
      <c r="O86" s="27"/>
      <c r="P86" s="27"/>
      <c r="Q86" s="28"/>
      <c r="R86" s="32" t="s">
        <v>96</v>
      </c>
      <c r="V86" s="6">
        <v>10500</v>
      </c>
      <c r="W86" s="20">
        <v>1295000</v>
      </c>
      <c r="X86" s="31"/>
      <c r="Z86" s="31"/>
      <c r="AB86" s="31"/>
    </row>
    <row r="87" spans="2:35" ht="15" customHeight="1" x14ac:dyDescent="0.15">
      <c r="B87" s="15" t="s">
        <v>174</v>
      </c>
      <c r="C87" s="35"/>
      <c r="D87" s="36"/>
      <c r="E87" s="37"/>
      <c r="F87" s="38"/>
      <c r="G87" s="37"/>
      <c r="H87" s="37"/>
      <c r="I87" s="37"/>
      <c r="J87" s="38"/>
      <c r="K87" s="37"/>
      <c r="L87" s="38"/>
      <c r="M87" s="37"/>
      <c r="N87" s="37"/>
      <c r="O87" s="37"/>
      <c r="P87" s="37"/>
      <c r="Q87" s="38"/>
      <c r="R87" s="39" t="s">
        <v>98</v>
      </c>
      <c r="S87" s="15"/>
      <c r="T87" s="15"/>
      <c r="U87" s="16"/>
      <c r="V87" s="40">
        <v>21000</v>
      </c>
      <c r="W87" s="36">
        <v>1505000</v>
      </c>
      <c r="X87" s="45"/>
      <c r="Y87" s="36"/>
      <c r="Z87" s="45"/>
      <c r="AA87" s="36"/>
      <c r="AB87" s="45"/>
      <c r="AC87" s="46"/>
    </row>
    <row r="88" spans="2:35" ht="15" customHeight="1" x14ac:dyDescent="0.15">
      <c r="B88" s="4" t="s">
        <v>176</v>
      </c>
      <c r="C88" s="19">
        <v>6.9444444444444447E-4</v>
      </c>
      <c r="D88" s="20">
        <v>1</v>
      </c>
      <c r="E88" s="27">
        <v>10</v>
      </c>
      <c r="F88" s="28">
        <v>5</v>
      </c>
      <c r="G88" s="29">
        <v>100</v>
      </c>
      <c r="H88" s="29"/>
      <c r="I88" s="29">
        <v>100</v>
      </c>
      <c r="J88" s="28">
        <v>100</v>
      </c>
      <c r="K88" s="27">
        <v>2525</v>
      </c>
      <c r="L88" s="28">
        <v>2</v>
      </c>
      <c r="M88" s="29"/>
      <c r="N88" s="29">
        <v>3000</v>
      </c>
      <c r="O88" s="29"/>
      <c r="P88" s="29"/>
      <c r="Q88" s="28"/>
      <c r="V88" s="3">
        <v>40</v>
      </c>
      <c r="W88" s="20">
        <v>2000</v>
      </c>
      <c r="AD88" s="3">
        <f>G88+H88+I88+J88</f>
        <v>300</v>
      </c>
      <c r="AE88" s="3">
        <f>V88*C88*24</f>
        <v>0.66666666666666674</v>
      </c>
      <c r="AF88" s="3">
        <f>M88+N88+O88+P88</f>
        <v>3000</v>
      </c>
      <c r="AG88" s="3">
        <f>AF88+AE88</f>
        <v>3000.6666666666665</v>
      </c>
      <c r="AH88" s="54">
        <f>AG88/AD88</f>
        <v>10.002222222222223</v>
      </c>
      <c r="AI88" s="3">
        <f>W88/V88</f>
        <v>50</v>
      </c>
    </row>
    <row r="89" spans="2:35" ht="15" customHeight="1" x14ac:dyDescent="0.15">
      <c r="B89" s="4" t="s">
        <v>178</v>
      </c>
      <c r="C89" s="19">
        <v>1.3888888888888889E-3</v>
      </c>
      <c r="D89" s="20">
        <v>1</v>
      </c>
      <c r="E89" s="27">
        <v>25</v>
      </c>
      <c r="F89" s="28">
        <v>10</v>
      </c>
      <c r="G89" s="29">
        <v>170</v>
      </c>
      <c r="H89" s="29"/>
      <c r="I89" s="29">
        <v>170</v>
      </c>
      <c r="J89" s="28">
        <v>170</v>
      </c>
      <c r="K89" s="27">
        <v>2575</v>
      </c>
      <c r="L89" s="28">
        <v>2</v>
      </c>
      <c r="M89" s="29"/>
      <c r="N89" s="29">
        <v>5000</v>
      </c>
      <c r="O89" s="29"/>
      <c r="P89" s="29"/>
      <c r="Q89" s="28"/>
      <c r="V89" s="3">
        <v>120</v>
      </c>
      <c r="W89" s="20">
        <v>6000</v>
      </c>
      <c r="AD89" s="3">
        <f t="shared" ref="AD89:AD98" si="0">G89+H89+I89+J89</f>
        <v>510</v>
      </c>
      <c r="AE89" s="3">
        <f t="shared" ref="AE89:AE98" si="1">V89*C89*24</f>
        <v>4</v>
      </c>
      <c r="AF89" s="3">
        <f t="shared" ref="AF89:AF98" si="2">M89+N89+O89+P89</f>
        <v>5000</v>
      </c>
      <c r="AG89" s="3">
        <f t="shared" ref="AG89:AG98" si="3">AF89+AE89</f>
        <v>5004</v>
      </c>
      <c r="AH89" s="54">
        <f t="shared" ref="AH89:AH98" si="4">AG89/AD89</f>
        <v>9.8117647058823536</v>
      </c>
      <c r="AI89" s="3">
        <f t="shared" ref="AI89:AI107" si="5">W89/V89</f>
        <v>50</v>
      </c>
    </row>
    <row r="90" spans="2:35" ht="15" customHeight="1" x14ac:dyDescent="0.15">
      <c r="B90" s="4" t="s">
        <v>179</v>
      </c>
      <c r="C90" s="19">
        <v>2.7777777777777779E-3</v>
      </c>
      <c r="D90" s="20">
        <v>1</v>
      </c>
      <c r="E90" s="27">
        <v>50</v>
      </c>
      <c r="F90" s="28">
        <v>15</v>
      </c>
      <c r="G90" s="29">
        <v>289</v>
      </c>
      <c r="H90" s="29"/>
      <c r="I90" s="29">
        <v>289</v>
      </c>
      <c r="J90" s="28">
        <v>289</v>
      </c>
      <c r="K90" s="27">
        <v>2600</v>
      </c>
      <c r="L90" s="28">
        <v>5</v>
      </c>
      <c r="M90" s="29"/>
      <c r="N90" s="29">
        <v>6300</v>
      </c>
      <c r="O90" s="29"/>
      <c r="P90" s="29"/>
      <c r="Q90" s="28"/>
      <c r="V90" s="3">
        <v>240</v>
      </c>
      <c r="W90" s="20">
        <v>12000</v>
      </c>
      <c r="AD90" s="3">
        <f t="shared" si="0"/>
        <v>867</v>
      </c>
      <c r="AE90" s="3">
        <f t="shared" si="1"/>
        <v>16</v>
      </c>
      <c r="AF90" s="3">
        <f t="shared" si="2"/>
        <v>6300</v>
      </c>
      <c r="AG90" s="3">
        <f t="shared" si="3"/>
        <v>6316</v>
      </c>
      <c r="AH90" s="54">
        <f t="shared" si="4"/>
        <v>7.2848904267589392</v>
      </c>
      <c r="AI90" s="3">
        <f t="shared" si="5"/>
        <v>50</v>
      </c>
    </row>
    <row r="91" spans="2:35" ht="15" customHeight="1" x14ac:dyDescent="0.15">
      <c r="B91" s="4" t="s">
        <v>180</v>
      </c>
      <c r="C91" s="19">
        <v>5.5555555555555558E-3</v>
      </c>
      <c r="D91" s="20">
        <v>70</v>
      </c>
      <c r="E91" s="27">
        <v>200</v>
      </c>
      <c r="F91" s="28">
        <v>25</v>
      </c>
      <c r="G91" s="29">
        <v>492</v>
      </c>
      <c r="H91" s="29"/>
      <c r="I91" s="29">
        <v>492</v>
      </c>
      <c r="J91" s="28">
        <v>492</v>
      </c>
      <c r="K91" s="27">
        <v>2650</v>
      </c>
      <c r="L91" s="28">
        <v>10</v>
      </c>
      <c r="M91" s="29">
        <v>1200</v>
      </c>
      <c r="N91" s="29">
        <v>6400</v>
      </c>
      <c r="O91" s="29">
        <v>1200</v>
      </c>
      <c r="P91" s="29">
        <v>1200</v>
      </c>
      <c r="Q91" s="28">
        <v>50</v>
      </c>
      <c r="V91" s="3">
        <v>400</v>
      </c>
      <c r="W91" s="20">
        <v>20000</v>
      </c>
      <c r="AD91" s="3">
        <f t="shared" si="0"/>
        <v>1476</v>
      </c>
      <c r="AE91" s="3">
        <f t="shared" si="1"/>
        <v>53.333333333333336</v>
      </c>
      <c r="AF91" s="3">
        <f t="shared" si="2"/>
        <v>10000</v>
      </c>
      <c r="AG91" s="3">
        <f t="shared" si="3"/>
        <v>10053.333333333334</v>
      </c>
      <c r="AH91" s="54">
        <f t="shared" si="4"/>
        <v>6.8112014453477876</v>
      </c>
      <c r="AI91" s="3">
        <f t="shared" si="5"/>
        <v>50</v>
      </c>
    </row>
    <row r="92" spans="2:35" ht="15" customHeight="1" x14ac:dyDescent="0.15">
      <c r="B92" s="4" t="s">
        <v>181</v>
      </c>
      <c r="C92" s="19">
        <v>1.1111111111111112E-2</v>
      </c>
      <c r="D92" s="20">
        <v>70</v>
      </c>
      <c r="E92" s="27">
        <v>400</v>
      </c>
      <c r="F92" s="28">
        <v>35</v>
      </c>
      <c r="G92" s="29">
        <v>837</v>
      </c>
      <c r="H92" s="29"/>
      <c r="I92" s="29">
        <v>837</v>
      </c>
      <c r="J92" s="28">
        <v>837</v>
      </c>
      <c r="K92" s="27">
        <v>2675</v>
      </c>
      <c r="L92" s="28">
        <v>17</v>
      </c>
      <c r="M92" s="29">
        <v>1800</v>
      </c>
      <c r="N92" s="29">
        <v>0</v>
      </c>
      <c r="O92" s="29">
        <v>1800</v>
      </c>
      <c r="P92" s="29">
        <v>1800</v>
      </c>
      <c r="Q92" s="28">
        <v>50</v>
      </c>
      <c r="V92" s="3">
        <v>600</v>
      </c>
      <c r="W92" s="20">
        <v>30000</v>
      </c>
      <c r="AD92" s="3">
        <f t="shared" si="0"/>
        <v>2511</v>
      </c>
      <c r="AE92" s="3">
        <f t="shared" si="1"/>
        <v>160</v>
      </c>
      <c r="AF92" s="3">
        <f t="shared" si="2"/>
        <v>5400</v>
      </c>
      <c r="AG92" s="3">
        <f t="shared" si="3"/>
        <v>5560</v>
      </c>
      <c r="AH92" s="54">
        <f t="shared" si="4"/>
        <v>2.2142572680207091</v>
      </c>
      <c r="AI92" s="3">
        <f t="shared" si="5"/>
        <v>50</v>
      </c>
    </row>
    <row r="93" spans="2:35" ht="15" customHeight="1" x14ac:dyDescent="0.15">
      <c r="B93" s="4" t="s">
        <v>182</v>
      </c>
      <c r="C93" s="19">
        <v>2.2222222222222223E-2</v>
      </c>
      <c r="D93" s="20">
        <v>130</v>
      </c>
      <c r="E93" s="27">
        <v>500</v>
      </c>
      <c r="F93" s="28">
        <v>55</v>
      </c>
      <c r="G93" s="29">
        <v>1674</v>
      </c>
      <c r="H93" s="29"/>
      <c r="I93" s="29">
        <v>1674</v>
      </c>
      <c r="J93" s="28">
        <v>1674</v>
      </c>
      <c r="K93" s="27">
        <v>2500</v>
      </c>
      <c r="L93" s="28">
        <v>27</v>
      </c>
      <c r="M93" s="29">
        <v>1300</v>
      </c>
      <c r="N93" s="29">
        <v>0</v>
      </c>
      <c r="O93" s="29">
        <v>1300</v>
      </c>
      <c r="P93" s="29">
        <v>1300</v>
      </c>
      <c r="Q93" s="28">
        <v>100</v>
      </c>
      <c r="R93" s="32" t="s">
        <v>159</v>
      </c>
      <c r="V93" s="3">
        <v>840</v>
      </c>
      <c r="W93" s="20">
        <v>42000</v>
      </c>
      <c r="AD93" s="3">
        <f t="shared" si="0"/>
        <v>5022</v>
      </c>
      <c r="AE93" s="3">
        <f t="shared" si="1"/>
        <v>448</v>
      </c>
      <c r="AF93" s="3">
        <f t="shared" si="2"/>
        <v>3900</v>
      </c>
      <c r="AG93" s="3">
        <f t="shared" si="3"/>
        <v>4348</v>
      </c>
      <c r="AH93" s="54">
        <f t="shared" si="4"/>
        <v>0.86579052170450022</v>
      </c>
      <c r="AI93" s="3">
        <f t="shared" si="5"/>
        <v>50</v>
      </c>
    </row>
    <row r="94" spans="2:35" ht="15" customHeight="1" x14ac:dyDescent="0.15">
      <c r="B94" s="4" t="s">
        <v>183</v>
      </c>
      <c r="C94" s="19">
        <v>4.4444444444444446E-2</v>
      </c>
      <c r="D94" s="20">
        <v>130</v>
      </c>
      <c r="E94" s="27">
        <v>500</v>
      </c>
      <c r="F94" s="28">
        <v>85</v>
      </c>
      <c r="G94" s="29">
        <v>3348</v>
      </c>
      <c r="H94" s="29"/>
      <c r="I94" s="29">
        <v>3348</v>
      </c>
      <c r="J94" s="28">
        <v>3348</v>
      </c>
      <c r="K94" s="27">
        <v>2500</v>
      </c>
      <c r="L94" s="28">
        <v>45</v>
      </c>
      <c r="M94" s="29">
        <v>2300</v>
      </c>
      <c r="N94" s="29">
        <v>0</v>
      </c>
      <c r="O94" s="29">
        <v>2300</v>
      </c>
      <c r="P94" s="29">
        <v>2300</v>
      </c>
      <c r="Q94" s="28">
        <v>50</v>
      </c>
      <c r="R94" s="32" t="s">
        <v>61</v>
      </c>
      <c r="V94" s="3">
        <v>1120</v>
      </c>
      <c r="W94" s="20">
        <v>70000</v>
      </c>
      <c r="AD94" s="3">
        <f t="shared" si="0"/>
        <v>10044</v>
      </c>
      <c r="AE94" s="3">
        <f t="shared" si="1"/>
        <v>1194.6666666666667</v>
      </c>
      <c r="AF94" s="3">
        <f t="shared" si="2"/>
        <v>6900</v>
      </c>
      <c r="AG94" s="3">
        <f t="shared" si="3"/>
        <v>8094.666666666667</v>
      </c>
      <c r="AH94" s="54">
        <f t="shared" si="4"/>
        <v>0.80592061595645825</v>
      </c>
      <c r="AI94" s="3">
        <f t="shared" si="5"/>
        <v>62.5</v>
      </c>
    </row>
    <row r="95" spans="2:35" ht="15" customHeight="1" x14ac:dyDescent="0.15">
      <c r="B95" s="4" t="s">
        <v>184</v>
      </c>
      <c r="C95" s="19">
        <v>8.8888888888888892E-2</v>
      </c>
      <c r="D95" s="20">
        <v>300</v>
      </c>
      <c r="E95" s="27">
        <v>500</v>
      </c>
      <c r="F95" s="28">
        <v>125</v>
      </c>
      <c r="G95" s="29">
        <v>6696</v>
      </c>
      <c r="H95" s="29"/>
      <c r="I95" s="29">
        <v>6696</v>
      </c>
      <c r="J95" s="28">
        <v>6696</v>
      </c>
      <c r="K95" s="27">
        <v>2500</v>
      </c>
      <c r="L95" s="28">
        <v>70</v>
      </c>
      <c r="M95" s="29">
        <v>4100</v>
      </c>
      <c r="N95" s="29">
        <v>0</v>
      </c>
      <c r="O95" s="29">
        <v>4100</v>
      </c>
      <c r="P95" s="29">
        <v>4100</v>
      </c>
      <c r="Q95" s="28">
        <v>100</v>
      </c>
      <c r="R95" s="32" t="s">
        <v>64</v>
      </c>
      <c r="V95" s="3">
        <v>1440</v>
      </c>
      <c r="W95" s="20">
        <v>102000</v>
      </c>
      <c r="AD95" s="3">
        <f t="shared" si="0"/>
        <v>20088</v>
      </c>
      <c r="AE95" s="3">
        <f t="shared" si="1"/>
        <v>3072</v>
      </c>
      <c r="AF95" s="3">
        <f t="shared" si="2"/>
        <v>12300</v>
      </c>
      <c r="AG95" s="3">
        <f t="shared" si="3"/>
        <v>15372</v>
      </c>
      <c r="AH95" s="54">
        <f t="shared" si="4"/>
        <v>0.76523297491039421</v>
      </c>
      <c r="AI95" s="3">
        <f t="shared" si="5"/>
        <v>70.833333333333329</v>
      </c>
    </row>
    <row r="96" spans="2:35" ht="15" customHeight="1" x14ac:dyDescent="0.15">
      <c r="B96" s="4" t="s">
        <v>185</v>
      </c>
      <c r="C96" s="19">
        <v>0.17777777777777778</v>
      </c>
      <c r="D96" s="20">
        <v>300</v>
      </c>
      <c r="E96" s="27">
        <v>500</v>
      </c>
      <c r="F96" s="28">
        <v>190</v>
      </c>
      <c r="G96" s="29">
        <v>13392</v>
      </c>
      <c r="H96" s="29"/>
      <c r="I96" s="29">
        <v>13392</v>
      </c>
      <c r="J96" s="28">
        <v>13392</v>
      </c>
      <c r="K96" s="27">
        <v>10000</v>
      </c>
      <c r="L96" s="28">
        <v>107</v>
      </c>
      <c r="M96" s="29">
        <v>7400</v>
      </c>
      <c r="N96" s="29">
        <v>0</v>
      </c>
      <c r="O96" s="29">
        <v>7400</v>
      </c>
      <c r="P96" s="29">
        <v>7400</v>
      </c>
      <c r="Q96" s="28">
        <v>150</v>
      </c>
      <c r="R96" s="32" t="s">
        <v>67</v>
      </c>
      <c r="V96" s="3">
        <v>1800</v>
      </c>
      <c r="W96" s="20">
        <v>138000</v>
      </c>
      <c r="AD96" s="3">
        <f t="shared" si="0"/>
        <v>40176</v>
      </c>
      <c r="AE96" s="3">
        <f t="shared" si="1"/>
        <v>7680</v>
      </c>
      <c r="AF96" s="3">
        <f t="shared" si="2"/>
        <v>22200</v>
      </c>
      <c r="AG96" s="3">
        <f t="shared" si="3"/>
        <v>29880</v>
      </c>
      <c r="AH96" s="54">
        <f t="shared" si="4"/>
        <v>0.74372759856630821</v>
      </c>
      <c r="AI96" s="3">
        <f t="shared" si="5"/>
        <v>76.666666666666671</v>
      </c>
    </row>
    <row r="97" spans="2:35" ht="15" customHeight="1" x14ac:dyDescent="0.15">
      <c r="B97" s="4" t="s">
        <v>186</v>
      </c>
      <c r="C97" s="19">
        <v>0.35555555555555557</v>
      </c>
      <c r="D97" s="20">
        <v>650</v>
      </c>
      <c r="E97" s="27">
        <v>500</v>
      </c>
      <c r="F97" s="28">
        <v>285</v>
      </c>
      <c r="G97" s="29">
        <v>20088</v>
      </c>
      <c r="H97" s="29"/>
      <c r="I97" s="29">
        <v>20088</v>
      </c>
      <c r="J97" s="28">
        <v>20088</v>
      </c>
      <c r="K97" s="27">
        <v>10000</v>
      </c>
      <c r="L97" s="28">
        <v>165</v>
      </c>
      <c r="M97" s="29">
        <v>4017</v>
      </c>
      <c r="N97" s="29">
        <v>0</v>
      </c>
      <c r="O97" s="29">
        <v>4017</v>
      </c>
      <c r="P97" s="29">
        <v>4017</v>
      </c>
      <c r="Q97" s="28">
        <v>100</v>
      </c>
      <c r="R97" s="32" t="s">
        <v>71</v>
      </c>
      <c r="V97" s="3">
        <v>2200</v>
      </c>
      <c r="W97" s="20">
        <v>178000</v>
      </c>
      <c r="AD97" s="3">
        <f t="shared" si="0"/>
        <v>60264</v>
      </c>
      <c r="AE97" s="3">
        <f t="shared" si="1"/>
        <v>18773.333333333336</v>
      </c>
      <c r="AF97" s="3">
        <f t="shared" si="2"/>
        <v>12051</v>
      </c>
      <c r="AG97" s="3">
        <f t="shared" si="3"/>
        <v>30824.333333333336</v>
      </c>
      <c r="AH97" s="54">
        <f t="shared" si="4"/>
        <v>0.51148834019204392</v>
      </c>
      <c r="AI97" s="3">
        <f t="shared" si="5"/>
        <v>80.909090909090907</v>
      </c>
    </row>
    <row r="98" spans="2:35" ht="15" customHeight="1" x14ac:dyDescent="0.15">
      <c r="B98" s="4" t="s">
        <v>187</v>
      </c>
      <c r="C98" s="19">
        <v>0.42666666666666669</v>
      </c>
      <c r="D98" s="20">
        <v>650</v>
      </c>
      <c r="E98" s="27">
        <v>500</v>
      </c>
      <c r="F98" s="28">
        <v>430</v>
      </c>
      <c r="G98" s="29">
        <v>30132</v>
      </c>
      <c r="H98" s="29"/>
      <c r="I98" s="29">
        <v>30132</v>
      </c>
      <c r="J98" s="28">
        <v>30132</v>
      </c>
      <c r="K98" s="27">
        <v>20000</v>
      </c>
      <c r="L98" s="28">
        <v>250</v>
      </c>
      <c r="M98" s="29">
        <v>5478</v>
      </c>
      <c r="N98" s="29">
        <v>0</v>
      </c>
      <c r="O98" s="29">
        <v>5478</v>
      </c>
      <c r="P98" s="29">
        <v>5478</v>
      </c>
      <c r="Q98" s="28">
        <v>80</v>
      </c>
      <c r="R98" s="32" t="s">
        <v>75</v>
      </c>
      <c r="V98" s="3">
        <v>2640</v>
      </c>
      <c r="W98" s="20">
        <v>222000</v>
      </c>
      <c r="AD98" s="3">
        <f t="shared" si="0"/>
        <v>90396</v>
      </c>
      <c r="AE98" s="3">
        <f t="shared" si="1"/>
        <v>27033.600000000002</v>
      </c>
      <c r="AF98" s="3">
        <f t="shared" si="2"/>
        <v>16434</v>
      </c>
      <c r="AG98" s="3">
        <f t="shared" si="3"/>
        <v>43467.600000000006</v>
      </c>
      <c r="AH98" s="54">
        <f t="shared" si="4"/>
        <v>0.48085756006902969</v>
      </c>
      <c r="AI98" s="3">
        <f t="shared" si="5"/>
        <v>84.090909090909093</v>
      </c>
    </row>
    <row r="99" spans="2:35" ht="15" customHeight="1" x14ac:dyDescent="0.15">
      <c r="B99" s="4" t="s">
        <v>188</v>
      </c>
      <c r="E99" s="27"/>
      <c r="F99" s="28"/>
      <c r="G99" s="29"/>
      <c r="H99" s="29"/>
      <c r="I99" s="29"/>
      <c r="J99" s="28"/>
      <c r="K99" s="27"/>
      <c r="L99" s="28"/>
      <c r="M99" s="29"/>
      <c r="N99" s="29"/>
      <c r="O99" s="29"/>
      <c r="P99" s="29"/>
      <c r="Q99" s="28"/>
      <c r="R99" s="32" t="s">
        <v>79</v>
      </c>
      <c r="V99" s="3">
        <v>3120</v>
      </c>
      <c r="W99" s="20">
        <v>270000</v>
      </c>
      <c r="AI99" s="3">
        <f t="shared" si="5"/>
        <v>86.538461538461533</v>
      </c>
    </row>
    <row r="100" spans="2:35" ht="15" customHeight="1" x14ac:dyDescent="0.15">
      <c r="B100" s="4" t="s">
        <v>189</v>
      </c>
      <c r="E100" s="27"/>
      <c r="F100" s="28"/>
      <c r="G100" s="29"/>
      <c r="H100" s="29"/>
      <c r="I100" s="29"/>
      <c r="J100" s="28"/>
      <c r="K100" s="27"/>
      <c r="L100" s="28"/>
      <c r="M100" s="29"/>
      <c r="N100" s="29"/>
      <c r="O100" s="29"/>
      <c r="P100" s="29"/>
      <c r="Q100" s="28"/>
      <c r="R100" s="32" t="s">
        <v>81</v>
      </c>
      <c r="V100" s="3">
        <v>3640</v>
      </c>
      <c r="W100" s="20">
        <v>322000</v>
      </c>
      <c r="AI100" s="3">
        <f t="shared" si="5"/>
        <v>88.461538461538467</v>
      </c>
    </row>
    <row r="101" spans="2:35" ht="15" customHeight="1" x14ac:dyDescent="0.15">
      <c r="B101" s="4" t="s">
        <v>190</v>
      </c>
      <c r="E101" s="27"/>
      <c r="F101" s="28"/>
      <c r="G101" s="29"/>
      <c r="H101" s="29"/>
      <c r="I101" s="29"/>
      <c r="J101" s="28"/>
      <c r="K101" s="27"/>
      <c r="L101" s="28"/>
      <c r="M101" s="29"/>
      <c r="N101" s="29"/>
      <c r="O101" s="29"/>
      <c r="P101" s="29"/>
      <c r="Q101" s="28"/>
      <c r="R101" s="32" t="s">
        <v>83</v>
      </c>
      <c r="V101" s="3">
        <v>4200</v>
      </c>
      <c r="W101" s="20">
        <v>406000</v>
      </c>
      <c r="AI101" s="3">
        <f t="shared" si="5"/>
        <v>96.666666666666671</v>
      </c>
    </row>
    <row r="102" spans="2:35" ht="15" customHeight="1" x14ac:dyDescent="0.15">
      <c r="B102" s="4" t="s">
        <v>191</v>
      </c>
      <c r="E102" s="27"/>
      <c r="F102" s="28"/>
      <c r="G102" s="29"/>
      <c r="H102" s="29"/>
      <c r="I102" s="29"/>
      <c r="J102" s="28"/>
      <c r="K102" s="27"/>
      <c r="L102" s="28"/>
      <c r="M102" s="29"/>
      <c r="N102" s="29"/>
      <c r="O102" s="29"/>
      <c r="P102" s="29"/>
      <c r="Q102" s="28"/>
      <c r="R102" s="32" t="s">
        <v>85</v>
      </c>
      <c r="V102" s="3">
        <v>4800</v>
      </c>
      <c r="W102" s="20">
        <v>496000</v>
      </c>
      <c r="AI102" s="3">
        <f t="shared" si="5"/>
        <v>103.33333333333333</v>
      </c>
    </row>
    <row r="103" spans="2:35" ht="15" customHeight="1" x14ac:dyDescent="0.15">
      <c r="B103" s="4" t="s">
        <v>192</v>
      </c>
      <c r="E103" s="27"/>
      <c r="F103" s="28"/>
      <c r="G103" s="29"/>
      <c r="H103" s="29"/>
      <c r="I103" s="29"/>
      <c r="J103" s="28"/>
      <c r="K103" s="27"/>
      <c r="L103" s="28"/>
      <c r="M103" s="29"/>
      <c r="N103" s="29"/>
      <c r="O103" s="29"/>
      <c r="P103" s="29"/>
      <c r="Q103" s="28"/>
      <c r="R103" s="32" t="s">
        <v>88</v>
      </c>
      <c r="V103" s="3">
        <v>5440</v>
      </c>
      <c r="W103" s="20">
        <v>592000</v>
      </c>
      <c r="AI103" s="3">
        <f t="shared" si="5"/>
        <v>108.82352941176471</v>
      </c>
    </row>
    <row r="104" spans="2:35" ht="15" customHeight="1" x14ac:dyDescent="0.15">
      <c r="B104" s="4" t="s">
        <v>193</v>
      </c>
      <c r="E104" s="27"/>
      <c r="F104" s="28"/>
      <c r="G104" s="29"/>
      <c r="H104" s="29"/>
      <c r="I104" s="29"/>
      <c r="J104" s="28"/>
      <c r="K104" s="27"/>
      <c r="L104" s="28"/>
      <c r="M104" s="29"/>
      <c r="N104" s="29"/>
      <c r="O104" s="29"/>
      <c r="P104" s="29"/>
      <c r="Q104" s="28"/>
      <c r="R104" s="32" t="s">
        <v>90</v>
      </c>
      <c r="V104" s="3">
        <v>6120</v>
      </c>
      <c r="W104" s="20">
        <v>694000</v>
      </c>
      <c r="AI104" s="3">
        <f t="shared" si="5"/>
        <v>113.39869281045752</v>
      </c>
    </row>
    <row r="105" spans="2:35" ht="15" customHeight="1" x14ac:dyDescent="0.15">
      <c r="B105" s="4" t="s">
        <v>194</v>
      </c>
      <c r="E105" s="27"/>
      <c r="F105" s="28"/>
      <c r="G105" s="29"/>
      <c r="H105" s="29"/>
      <c r="I105" s="29"/>
      <c r="J105" s="28"/>
      <c r="K105" s="27"/>
      <c r="L105" s="28"/>
      <c r="M105" s="29"/>
      <c r="N105" s="29"/>
      <c r="O105" s="29"/>
      <c r="P105" s="29"/>
      <c r="Q105" s="28"/>
      <c r="R105" s="32" t="s">
        <v>92</v>
      </c>
      <c r="V105" s="6">
        <v>6840</v>
      </c>
      <c r="W105" s="20">
        <v>802000</v>
      </c>
      <c r="AI105" s="3">
        <f t="shared" si="5"/>
        <v>117.25146198830409</v>
      </c>
    </row>
    <row r="106" spans="2:35" ht="15" customHeight="1" x14ac:dyDescent="0.15">
      <c r="B106" s="33" t="s">
        <v>195</v>
      </c>
      <c r="C106" s="34"/>
      <c r="E106" s="27"/>
      <c r="F106" s="28"/>
      <c r="G106" s="27"/>
      <c r="H106" s="27"/>
      <c r="I106" s="27"/>
      <c r="J106" s="28"/>
      <c r="K106" s="27"/>
      <c r="L106" s="28"/>
      <c r="M106" s="27"/>
      <c r="N106" s="27"/>
      <c r="O106" s="27"/>
      <c r="P106" s="27"/>
      <c r="Q106" s="28"/>
      <c r="R106" s="32" t="s">
        <v>94</v>
      </c>
      <c r="S106" s="33"/>
      <c r="T106" s="33"/>
      <c r="V106" s="6">
        <v>7600</v>
      </c>
      <c r="W106" s="20">
        <v>916000</v>
      </c>
      <c r="X106" s="31"/>
      <c r="Z106" s="31"/>
      <c r="AB106" s="31"/>
      <c r="AI106" s="3">
        <f t="shared" si="5"/>
        <v>120.52631578947368</v>
      </c>
    </row>
    <row r="107" spans="2:35" ht="15" customHeight="1" x14ac:dyDescent="0.15">
      <c r="B107" s="33" t="s">
        <v>196</v>
      </c>
      <c r="C107" s="34"/>
      <c r="E107" s="27"/>
      <c r="F107" s="28"/>
      <c r="G107" s="27"/>
      <c r="H107" s="27"/>
      <c r="I107" s="27"/>
      <c r="J107" s="28"/>
      <c r="K107" s="27"/>
      <c r="L107" s="28"/>
      <c r="M107" s="27"/>
      <c r="N107" s="27"/>
      <c r="O107" s="27"/>
      <c r="P107" s="27"/>
      <c r="Q107" s="28"/>
      <c r="R107" s="32" t="s">
        <v>96</v>
      </c>
      <c r="S107" s="33"/>
      <c r="T107" s="33"/>
      <c r="V107" s="6">
        <v>8400</v>
      </c>
      <c r="W107" s="20">
        <v>1036000</v>
      </c>
      <c r="X107" s="31"/>
      <c r="Z107" s="31"/>
      <c r="AB107" s="31"/>
      <c r="AI107" s="3">
        <f t="shared" si="5"/>
        <v>123.33333333333333</v>
      </c>
    </row>
    <row r="108" spans="2:35" ht="15" customHeight="1" x14ac:dyDescent="0.15">
      <c r="B108" s="15" t="s">
        <v>197</v>
      </c>
      <c r="C108" s="35"/>
      <c r="D108" s="36"/>
      <c r="E108" s="37"/>
      <c r="F108" s="38"/>
      <c r="G108" s="37"/>
      <c r="H108" s="37"/>
      <c r="I108" s="37"/>
      <c r="J108" s="38"/>
      <c r="K108" s="37"/>
      <c r="L108" s="38"/>
      <c r="M108" s="37"/>
      <c r="N108" s="37"/>
      <c r="O108" s="37"/>
      <c r="P108" s="37"/>
      <c r="Q108" s="38"/>
      <c r="R108" s="39" t="s">
        <v>98</v>
      </c>
      <c r="S108" s="15"/>
      <c r="T108" s="15"/>
      <c r="U108" s="16"/>
      <c r="V108" s="40">
        <v>16800</v>
      </c>
      <c r="W108" s="36">
        <v>1204000</v>
      </c>
      <c r="X108" s="45"/>
      <c r="Y108" s="36"/>
      <c r="Z108" s="45"/>
      <c r="AA108" s="36"/>
      <c r="AB108" s="45"/>
      <c r="AC108" s="46"/>
    </row>
    <row r="109" spans="2:35" ht="15" customHeight="1" x14ac:dyDescent="0.15">
      <c r="B109" s="4" t="s">
        <v>198</v>
      </c>
      <c r="C109" s="19">
        <v>6.9444444444444447E-4</v>
      </c>
      <c r="D109" s="20">
        <v>1</v>
      </c>
      <c r="E109" s="27">
        <v>10</v>
      </c>
      <c r="F109" s="28">
        <v>5</v>
      </c>
      <c r="G109" s="29"/>
      <c r="H109" s="29">
        <v>100</v>
      </c>
      <c r="I109" s="29">
        <v>100</v>
      </c>
      <c r="J109" s="28">
        <v>100</v>
      </c>
      <c r="K109" s="27">
        <v>2525</v>
      </c>
      <c r="L109" s="28">
        <v>2</v>
      </c>
      <c r="M109" s="29">
        <v>3000</v>
      </c>
      <c r="N109" s="29"/>
      <c r="O109" s="29"/>
      <c r="P109" s="29"/>
      <c r="Q109" s="28"/>
      <c r="V109" s="3">
        <v>40</v>
      </c>
      <c r="W109" s="20">
        <v>2000</v>
      </c>
    </row>
    <row r="110" spans="2:35" ht="15" customHeight="1" x14ac:dyDescent="0.15">
      <c r="B110" s="4" t="s">
        <v>199</v>
      </c>
      <c r="C110" s="19">
        <v>1.6203703703703703E-3</v>
      </c>
      <c r="D110" s="20">
        <v>1</v>
      </c>
      <c r="E110" s="27">
        <v>25</v>
      </c>
      <c r="F110" s="28">
        <v>10</v>
      </c>
      <c r="G110" s="29"/>
      <c r="H110" s="29">
        <v>170</v>
      </c>
      <c r="I110" s="29">
        <v>170</v>
      </c>
      <c r="J110" s="28">
        <v>170</v>
      </c>
      <c r="K110" s="27">
        <v>2575</v>
      </c>
      <c r="L110" s="28">
        <v>2</v>
      </c>
      <c r="M110" s="29">
        <v>5000</v>
      </c>
      <c r="N110" s="29"/>
      <c r="O110" s="29"/>
      <c r="P110" s="29"/>
      <c r="Q110" s="28"/>
      <c r="V110" s="3">
        <v>120</v>
      </c>
      <c r="W110" s="20">
        <v>6000</v>
      </c>
    </row>
    <row r="111" spans="2:35" ht="15" customHeight="1" x14ac:dyDescent="0.15">
      <c r="B111" s="4" t="s">
        <v>200</v>
      </c>
      <c r="C111" s="19">
        <v>3.2407407407407406E-3</v>
      </c>
      <c r="D111" s="20">
        <v>1</v>
      </c>
      <c r="E111" s="27">
        <v>50</v>
      </c>
      <c r="F111" s="28">
        <v>15</v>
      </c>
      <c r="G111" s="29"/>
      <c r="H111" s="29">
        <v>289</v>
      </c>
      <c r="I111" s="29">
        <v>289</v>
      </c>
      <c r="J111" s="28">
        <v>289</v>
      </c>
      <c r="K111" s="27">
        <v>2600</v>
      </c>
      <c r="L111" s="28">
        <v>5</v>
      </c>
      <c r="M111" s="29">
        <v>6300</v>
      </c>
      <c r="N111" s="29"/>
      <c r="O111" s="29"/>
      <c r="P111" s="29"/>
      <c r="Q111" s="28"/>
      <c r="V111" s="3">
        <v>240</v>
      </c>
      <c r="W111" s="20">
        <v>12000</v>
      </c>
    </row>
    <row r="112" spans="2:35" ht="15" customHeight="1" x14ac:dyDescent="0.15">
      <c r="B112" s="4" t="s">
        <v>201</v>
      </c>
      <c r="C112" s="19">
        <v>6.4814814814814813E-3</v>
      </c>
      <c r="D112" s="20">
        <v>1</v>
      </c>
      <c r="E112" s="27">
        <v>200</v>
      </c>
      <c r="F112" s="28">
        <v>25</v>
      </c>
      <c r="G112" s="29"/>
      <c r="H112" s="29">
        <v>492</v>
      </c>
      <c r="I112" s="29">
        <v>492</v>
      </c>
      <c r="J112" s="28">
        <v>492</v>
      </c>
      <c r="K112" s="27">
        <v>2650</v>
      </c>
      <c r="L112" s="28">
        <v>10</v>
      </c>
      <c r="M112" s="29">
        <v>6400</v>
      </c>
      <c r="N112" s="29">
        <v>1200</v>
      </c>
      <c r="O112" s="29">
        <v>1200</v>
      </c>
      <c r="P112" s="29">
        <v>1200</v>
      </c>
      <c r="Q112" s="28">
        <v>50</v>
      </c>
      <c r="V112" s="3">
        <v>400</v>
      </c>
      <c r="W112" s="20">
        <v>20000</v>
      </c>
    </row>
    <row r="113" spans="2:28" ht="15" customHeight="1" x14ac:dyDescent="0.15">
      <c r="B113" s="4" t="s">
        <v>202</v>
      </c>
      <c r="C113" s="19">
        <v>1.2962962962962963E-2</v>
      </c>
      <c r="D113" s="20">
        <v>70</v>
      </c>
      <c r="E113" s="27">
        <v>400</v>
      </c>
      <c r="F113" s="28">
        <v>35</v>
      </c>
      <c r="G113" s="29"/>
      <c r="H113" s="29">
        <v>837</v>
      </c>
      <c r="I113" s="29">
        <v>837</v>
      </c>
      <c r="J113" s="28">
        <v>837</v>
      </c>
      <c r="K113" s="27">
        <v>2675</v>
      </c>
      <c r="L113" s="28">
        <v>17</v>
      </c>
      <c r="M113" s="29"/>
      <c r="N113" s="29">
        <v>1800</v>
      </c>
      <c r="O113" s="29">
        <v>1800</v>
      </c>
      <c r="P113" s="29">
        <v>1800</v>
      </c>
      <c r="Q113" s="28">
        <v>50</v>
      </c>
      <c r="V113" s="3">
        <v>600</v>
      </c>
      <c r="W113" s="20">
        <v>30000</v>
      </c>
    </row>
    <row r="114" spans="2:28" ht="15" customHeight="1" x14ac:dyDescent="0.15">
      <c r="B114" s="4" t="s">
        <v>203</v>
      </c>
      <c r="C114" s="19">
        <v>2.6041666666666668E-2</v>
      </c>
      <c r="D114" s="20">
        <v>130</v>
      </c>
      <c r="E114" s="27">
        <v>500</v>
      </c>
      <c r="F114" s="28">
        <v>55</v>
      </c>
      <c r="G114" s="29"/>
      <c r="H114" s="29">
        <v>1674</v>
      </c>
      <c r="I114" s="29">
        <v>1674</v>
      </c>
      <c r="J114" s="28">
        <v>1674</v>
      </c>
      <c r="K114" s="27">
        <v>2500</v>
      </c>
      <c r="L114" s="28">
        <v>27</v>
      </c>
      <c r="M114" s="29"/>
      <c r="N114" s="29">
        <v>1300</v>
      </c>
      <c r="O114" s="29">
        <v>1300</v>
      </c>
      <c r="P114" s="29">
        <v>1300</v>
      </c>
      <c r="Q114" s="28">
        <v>100</v>
      </c>
      <c r="R114" s="32" t="s">
        <v>159</v>
      </c>
      <c r="V114" s="3">
        <v>840</v>
      </c>
      <c r="W114" s="20">
        <v>42000</v>
      </c>
    </row>
    <row r="115" spans="2:28" ht="15" customHeight="1" x14ac:dyDescent="0.15">
      <c r="B115" s="4" t="s">
        <v>204</v>
      </c>
      <c r="C115" s="19">
        <v>5.185185185185185E-2</v>
      </c>
      <c r="D115" s="20">
        <v>130</v>
      </c>
      <c r="E115" s="27">
        <v>500</v>
      </c>
      <c r="F115" s="28">
        <v>85</v>
      </c>
      <c r="G115" s="29"/>
      <c r="H115" s="29">
        <v>3348</v>
      </c>
      <c r="I115" s="29">
        <v>3348</v>
      </c>
      <c r="J115" s="28">
        <v>3348</v>
      </c>
      <c r="K115" s="27">
        <v>2500</v>
      </c>
      <c r="L115" s="28">
        <v>45</v>
      </c>
      <c r="M115" s="29"/>
      <c r="N115" s="29">
        <v>2300</v>
      </c>
      <c r="O115" s="29">
        <v>2300</v>
      </c>
      <c r="P115" s="29">
        <v>2300</v>
      </c>
      <c r="Q115" s="28">
        <v>50</v>
      </c>
      <c r="R115" s="32" t="s">
        <v>61</v>
      </c>
      <c r="V115" s="3">
        <v>1120</v>
      </c>
      <c r="W115" s="20">
        <v>70000</v>
      </c>
    </row>
    <row r="116" spans="2:28" ht="15" customHeight="1" x14ac:dyDescent="0.15">
      <c r="B116" s="4" t="s">
        <v>205</v>
      </c>
      <c r="C116" s="19">
        <v>0.1037037037037037</v>
      </c>
      <c r="D116" s="20">
        <v>300</v>
      </c>
      <c r="E116" s="27">
        <v>500</v>
      </c>
      <c r="F116" s="28">
        <v>125</v>
      </c>
      <c r="G116" s="29"/>
      <c r="H116" s="29">
        <v>6696</v>
      </c>
      <c r="I116" s="29">
        <v>6696</v>
      </c>
      <c r="J116" s="28">
        <v>6696</v>
      </c>
      <c r="K116" s="27">
        <v>2500</v>
      </c>
      <c r="L116" s="28">
        <v>70</v>
      </c>
      <c r="M116" s="29"/>
      <c r="N116" s="29">
        <v>4100</v>
      </c>
      <c r="O116" s="29">
        <v>4100</v>
      </c>
      <c r="P116" s="29">
        <v>4100</v>
      </c>
      <c r="Q116" s="28">
        <v>100</v>
      </c>
      <c r="R116" s="32" t="s">
        <v>64</v>
      </c>
      <c r="V116" s="3">
        <v>1440</v>
      </c>
      <c r="W116" s="20">
        <v>102000</v>
      </c>
    </row>
    <row r="117" spans="2:28" ht="15" customHeight="1" x14ac:dyDescent="0.15">
      <c r="B117" s="4" t="s">
        <v>206</v>
      </c>
      <c r="C117" s="19">
        <v>0.2074074074074074</v>
      </c>
      <c r="D117" s="20">
        <v>650</v>
      </c>
      <c r="E117" s="27">
        <v>500</v>
      </c>
      <c r="F117" s="28">
        <v>190</v>
      </c>
      <c r="G117" s="29"/>
      <c r="H117" s="27">
        <f>H116*2</f>
        <v>13392</v>
      </c>
      <c r="I117" s="27">
        <f>I116*2</f>
        <v>13392</v>
      </c>
      <c r="J117" s="28">
        <f>J116*2</f>
        <v>13392</v>
      </c>
      <c r="K117" s="27">
        <v>10000</v>
      </c>
      <c r="L117" s="28">
        <v>107</v>
      </c>
      <c r="M117" s="29"/>
      <c r="N117" s="29">
        <v>7400</v>
      </c>
      <c r="O117" s="29">
        <v>7400</v>
      </c>
      <c r="P117" s="29">
        <v>7400</v>
      </c>
      <c r="Q117" s="28">
        <v>150</v>
      </c>
      <c r="R117" s="32" t="s">
        <v>67</v>
      </c>
      <c r="V117" s="3">
        <v>1800</v>
      </c>
      <c r="W117" s="20">
        <v>138000</v>
      </c>
    </row>
    <row r="118" spans="2:28" ht="15" customHeight="1" x14ac:dyDescent="0.15">
      <c r="B118" s="4" t="s">
        <v>207</v>
      </c>
      <c r="C118" s="19">
        <v>0.4148148148148148</v>
      </c>
      <c r="D118" s="20">
        <v>650</v>
      </c>
      <c r="E118" s="27">
        <v>500</v>
      </c>
      <c r="F118" s="28">
        <v>285</v>
      </c>
      <c r="G118" s="29"/>
      <c r="H118" s="29">
        <v>20088</v>
      </c>
      <c r="I118" s="29">
        <v>20088</v>
      </c>
      <c r="J118" s="28">
        <v>20088</v>
      </c>
      <c r="K118" s="27">
        <v>10000</v>
      </c>
      <c r="L118" s="28">
        <v>165</v>
      </c>
      <c r="M118" s="29"/>
      <c r="N118" s="29">
        <v>4017</v>
      </c>
      <c r="O118" s="29">
        <v>4017</v>
      </c>
      <c r="P118" s="29">
        <v>4017</v>
      </c>
      <c r="Q118" s="28">
        <v>100</v>
      </c>
      <c r="R118" s="32" t="s">
        <v>71</v>
      </c>
      <c r="V118" s="3">
        <v>2200</v>
      </c>
      <c r="W118" s="20">
        <v>178000</v>
      </c>
    </row>
    <row r="119" spans="2:28" ht="15" customHeight="1" x14ac:dyDescent="0.15">
      <c r="B119" s="4" t="s">
        <v>208</v>
      </c>
      <c r="C119" s="19">
        <v>0.49777777777777782</v>
      </c>
      <c r="D119" s="20">
        <v>650</v>
      </c>
      <c r="E119" s="27">
        <v>500</v>
      </c>
      <c r="F119" s="28">
        <v>430</v>
      </c>
      <c r="G119" s="29"/>
      <c r="H119" s="29">
        <v>30132</v>
      </c>
      <c r="I119" s="29">
        <v>30132</v>
      </c>
      <c r="J119" s="28">
        <v>30132</v>
      </c>
      <c r="K119" s="27">
        <v>20000</v>
      </c>
      <c r="L119" s="28">
        <v>250</v>
      </c>
      <c r="M119" s="29"/>
      <c r="N119" s="29">
        <v>5478</v>
      </c>
      <c r="O119" s="29">
        <v>5478</v>
      </c>
      <c r="P119" s="29">
        <v>5478</v>
      </c>
      <c r="Q119" s="28">
        <v>80</v>
      </c>
      <c r="R119" s="32" t="s">
        <v>75</v>
      </c>
      <c r="V119" s="3">
        <v>2640</v>
      </c>
      <c r="W119" s="20">
        <v>222000</v>
      </c>
    </row>
    <row r="120" spans="2:28" ht="15" customHeight="1" x14ac:dyDescent="0.15">
      <c r="B120" s="4" t="s">
        <v>209</v>
      </c>
      <c r="E120" s="27"/>
      <c r="F120" s="28"/>
      <c r="G120" s="29"/>
      <c r="H120" s="29"/>
      <c r="I120" s="29"/>
      <c r="J120" s="28"/>
      <c r="K120" s="27"/>
      <c r="L120" s="28"/>
      <c r="M120" s="29"/>
      <c r="N120" s="29"/>
      <c r="O120" s="29"/>
      <c r="P120" s="29"/>
      <c r="Q120" s="28"/>
      <c r="R120" s="32" t="s">
        <v>79</v>
      </c>
      <c r="V120" s="3">
        <v>3120</v>
      </c>
      <c r="W120" s="20">
        <v>270000</v>
      </c>
    </row>
    <row r="121" spans="2:28" ht="15" customHeight="1" x14ac:dyDescent="0.15">
      <c r="B121" s="4" t="s">
        <v>210</v>
      </c>
      <c r="E121" s="27"/>
      <c r="F121" s="28"/>
      <c r="G121" s="29"/>
      <c r="H121" s="29"/>
      <c r="I121" s="29"/>
      <c r="J121" s="28"/>
      <c r="K121" s="27"/>
      <c r="L121" s="28"/>
      <c r="M121" s="29"/>
      <c r="N121" s="29"/>
      <c r="O121" s="29"/>
      <c r="P121" s="29"/>
      <c r="Q121" s="28"/>
      <c r="R121" s="32" t="s">
        <v>81</v>
      </c>
      <c r="V121" s="3">
        <v>3640</v>
      </c>
      <c r="W121" s="20">
        <v>322000</v>
      </c>
    </row>
    <row r="122" spans="2:28" ht="15" customHeight="1" x14ac:dyDescent="0.15">
      <c r="B122" s="4" t="s">
        <v>211</v>
      </c>
      <c r="E122" s="27"/>
      <c r="F122" s="28"/>
      <c r="G122" s="29"/>
      <c r="H122" s="29"/>
      <c r="I122" s="29"/>
      <c r="J122" s="28"/>
      <c r="K122" s="27"/>
      <c r="L122" s="28"/>
      <c r="M122" s="29"/>
      <c r="N122" s="29"/>
      <c r="O122" s="29"/>
      <c r="P122" s="29"/>
      <c r="Q122" s="28"/>
      <c r="R122" s="32" t="s">
        <v>83</v>
      </c>
      <c r="V122" s="3">
        <v>4200</v>
      </c>
      <c r="W122" s="20">
        <v>406000</v>
      </c>
    </row>
    <row r="123" spans="2:28" ht="15" customHeight="1" x14ac:dyDescent="0.15">
      <c r="B123" s="4" t="s">
        <v>212</v>
      </c>
      <c r="E123" s="27"/>
      <c r="F123" s="28"/>
      <c r="G123" s="29"/>
      <c r="H123" s="29"/>
      <c r="I123" s="29"/>
      <c r="J123" s="28"/>
      <c r="K123" s="27"/>
      <c r="L123" s="28"/>
      <c r="M123" s="29"/>
      <c r="N123" s="29"/>
      <c r="O123" s="29"/>
      <c r="P123" s="29"/>
      <c r="Q123" s="28"/>
      <c r="R123" s="32" t="s">
        <v>85</v>
      </c>
      <c r="V123" s="3">
        <v>4800</v>
      </c>
      <c r="W123" s="20">
        <v>496000</v>
      </c>
    </row>
    <row r="124" spans="2:28" ht="15" customHeight="1" x14ac:dyDescent="0.15">
      <c r="B124" s="4" t="s">
        <v>213</v>
      </c>
      <c r="E124" s="27"/>
      <c r="F124" s="28"/>
      <c r="G124" s="29"/>
      <c r="H124" s="29"/>
      <c r="I124" s="29"/>
      <c r="J124" s="28"/>
      <c r="K124" s="27"/>
      <c r="L124" s="28"/>
      <c r="M124" s="29"/>
      <c r="N124" s="29"/>
      <c r="O124" s="29"/>
      <c r="P124" s="29"/>
      <c r="Q124" s="28"/>
      <c r="R124" s="32" t="s">
        <v>88</v>
      </c>
      <c r="V124" s="3">
        <v>5440</v>
      </c>
      <c r="W124" s="20">
        <v>592000</v>
      </c>
    </row>
    <row r="125" spans="2:28" ht="15" customHeight="1" x14ac:dyDescent="0.15">
      <c r="B125" s="4" t="s">
        <v>214</v>
      </c>
      <c r="E125" s="27"/>
      <c r="F125" s="28"/>
      <c r="G125" s="29"/>
      <c r="H125" s="29"/>
      <c r="I125" s="29"/>
      <c r="J125" s="28"/>
      <c r="K125" s="27"/>
      <c r="L125" s="28"/>
      <c r="M125" s="29"/>
      <c r="N125" s="29"/>
      <c r="O125" s="29"/>
      <c r="P125" s="29"/>
      <c r="Q125" s="28"/>
      <c r="R125" s="32" t="s">
        <v>90</v>
      </c>
      <c r="V125" s="3">
        <v>6120</v>
      </c>
      <c r="W125" s="20">
        <v>694000</v>
      </c>
    </row>
    <row r="126" spans="2:28" ht="15" customHeight="1" x14ac:dyDescent="0.15">
      <c r="B126" s="33" t="s">
        <v>215</v>
      </c>
      <c r="C126" s="34"/>
      <c r="E126" s="27"/>
      <c r="F126" s="28"/>
      <c r="G126" s="27"/>
      <c r="H126" s="27"/>
      <c r="I126" s="27"/>
      <c r="J126" s="28"/>
      <c r="K126" s="27"/>
      <c r="L126" s="28"/>
      <c r="M126" s="27"/>
      <c r="N126" s="27"/>
      <c r="O126" s="27"/>
      <c r="P126" s="27"/>
      <c r="Q126" s="28"/>
      <c r="R126" s="32" t="s">
        <v>92</v>
      </c>
      <c r="S126" s="33"/>
      <c r="T126" s="33"/>
      <c r="V126" s="6">
        <v>6840</v>
      </c>
      <c r="W126" s="20">
        <v>802000</v>
      </c>
      <c r="X126" s="31"/>
      <c r="Z126" s="31"/>
      <c r="AB126" s="31"/>
    </row>
    <row r="127" spans="2:28" ht="15" customHeight="1" x14ac:dyDescent="0.15">
      <c r="B127" s="33" t="s">
        <v>216</v>
      </c>
      <c r="C127" s="34"/>
      <c r="E127" s="27"/>
      <c r="F127" s="28"/>
      <c r="G127" s="27"/>
      <c r="H127" s="27"/>
      <c r="I127" s="27"/>
      <c r="J127" s="28"/>
      <c r="K127" s="27"/>
      <c r="L127" s="28"/>
      <c r="M127" s="27"/>
      <c r="N127" s="27"/>
      <c r="O127" s="27"/>
      <c r="P127" s="27"/>
      <c r="Q127" s="28"/>
      <c r="R127" s="32" t="s">
        <v>94</v>
      </c>
      <c r="S127" s="33"/>
      <c r="T127" s="33"/>
      <c r="V127" s="6">
        <v>7600</v>
      </c>
      <c r="W127" s="20">
        <v>916000</v>
      </c>
      <c r="X127" s="31"/>
      <c r="Z127" s="31"/>
      <c r="AB127" s="31"/>
    </row>
    <row r="128" spans="2:28" ht="15" customHeight="1" x14ac:dyDescent="0.15">
      <c r="B128" s="33" t="s">
        <v>217</v>
      </c>
      <c r="C128" s="34"/>
      <c r="E128" s="27"/>
      <c r="F128" s="28"/>
      <c r="G128" s="27"/>
      <c r="H128" s="27"/>
      <c r="I128" s="27"/>
      <c r="J128" s="28"/>
      <c r="K128" s="27"/>
      <c r="L128" s="28"/>
      <c r="M128" s="27"/>
      <c r="N128" s="27"/>
      <c r="O128" s="27"/>
      <c r="P128" s="27"/>
      <c r="Q128" s="28"/>
      <c r="R128" s="32" t="s">
        <v>96</v>
      </c>
      <c r="S128" s="33"/>
      <c r="T128" s="33"/>
      <c r="V128" s="6">
        <v>8400</v>
      </c>
      <c r="W128" s="20">
        <v>1036000</v>
      </c>
      <c r="X128" s="31"/>
      <c r="Z128" s="31"/>
      <c r="AB128" s="31"/>
    </row>
    <row r="129" spans="2:29" ht="15" customHeight="1" x14ac:dyDescent="0.15">
      <c r="B129" s="15" t="s">
        <v>218</v>
      </c>
      <c r="C129" s="35"/>
      <c r="D129" s="36"/>
      <c r="E129" s="37"/>
      <c r="F129" s="38"/>
      <c r="G129" s="37"/>
      <c r="H129" s="37"/>
      <c r="I129" s="37"/>
      <c r="J129" s="38"/>
      <c r="K129" s="37"/>
      <c r="L129" s="38"/>
      <c r="M129" s="37"/>
      <c r="N129" s="37"/>
      <c r="O129" s="37"/>
      <c r="P129" s="37"/>
      <c r="Q129" s="38"/>
      <c r="R129" s="39" t="s">
        <v>98</v>
      </c>
      <c r="S129" s="15"/>
      <c r="T129" s="15"/>
      <c r="U129" s="16"/>
      <c r="V129" s="40">
        <v>16800</v>
      </c>
      <c r="W129" s="36">
        <v>1204000</v>
      </c>
      <c r="X129" s="45"/>
      <c r="Y129" s="36"/>
      <c r="Z129" s="45"/>
      <c r="AA129" s="36"/>
      <c r="AB129" s="45"/>
      <c r="AC129" s="46"/>
    </row>
    <row r="130" spans="2:29" ht="15" customHeight="1" x14ac:dyDescent="0.15">
      <c r="B130" s="4" t="s">
        <v>219</v>
      </c>
      <c r="C130" s="19">
        <v>6.9444444444444447E-4</v>
      </c>
      <c r="D130" s="20">
        <v>1</v>
      </c>
      <c r="E130" s="27">
        <v>10</v>
      </c>
      <c r="F130" s="28">
        <v>5</v>
      </c>
      <c r="G130" s="29">
        <v>100</v>
      </c>
      <c r="H130" s="29">
        <v>100</v>
      </c>
      <c r="I130" s="29"/>
      <c r="J130" s="28">
        <v>100</v>
      </c>
      <c r="K130" s="27">
        <v>2525</v>
      </c>
      <c r="L130" s="28">
        <v>2</v>
      </c>
      <c r="M130" s="29"/>
      <c r="N130" s="29"/>
      <c r="O130" s="29">
        <v>3000</v>
      </c>
      <c r="P130" s="29"/>
      <c r="Q130" s="28"/>
      <c r="V130" s="47">
        <v>30</v>
      </c>
      <c r="W130" s="20">
        <v>1500</v>
      </c>
    </row>
    <row r="131" spans="2:29" ht="15" customHeight="1" x14ac:dyDescent="0.15">
      <c r="B131" s="4" t="s">
        <v>220</v>
      </c>
      <c r="C131" s="19">
        <v>1.8518518518518517E-3</v>
      </c>
      <c r="D131" s="20">
        <v>1</v>
      </c>
      <c r="E131" s="27">
        <v>25</v>
      </c>
      <c r="F131" s="28">
        <v>10</v>
      </c>
      <c r="G131" s="29">
        <v>170</v>
      </c>
      <c r="H131" s="29">
        <v>170</v>
      </c>
      <c r="I131" s="29"/>
      <c r="J131" s="28">
        <v>170</v>
      </c>
      <c r="K131" s="27">
        <v>2575</v>
      </c>
      <c r="L131" s="28">
        <v>2</v>
      </c>
      <c r="M131" s="29"/>
      <c r="N131" s="29"/>
      <c r="O131" s="29">
        <v>5000</v>
      </c>
      <c r="P131" s="29"/>
      <c r="Q131" s="28"/>
      <c r="V131" s="6">
        <v>90</v>
      </c>
      <c r="W131" s="20">
        <v>4500</v>
      </c>
    </row>
    <row r="132" spans="2:29" ht="15" customHeight="1" x14ac:dyDescent="0.15">
      <c r="B132" s="4" t="s">
        <v>221</v>
      </c>
      <c r="C132" s="19">
        <v>3.7037037037037034E-3</v>
      </c>
      <c r="D132" s="20">
        <v>1</v>
      </c>
      <c r="E132" s="27">
        <v>50</v>
      </c>
      <c r="F132" s="28">
        <v>15</v>
      </c>
      <c r="G132" s="29">
        <v>289</v>
      </c>
      <c r="H132" s="29">
        <v>289</v>
      </c>
      <c r="I132" s="29"/>
      <c r="J132" s="28">
        <v>289</v>
      </c>
      <c r="K132" s="27">
        <v>2600</v>
      </c>
      <c r="L132" s="28">
        <v>5</v>
      </c>
      <c r="M132" s="29"/>
      <c r="N132" s="29"/>
      <c r="O132" s="29">
        <v>6300</v>
      </c>
      <c r="P132" s="29"/>
      <c r="Q132" s="28"/>
      <c r="V132" s="6">
        <v>180</v>
      </c>
      <c r="W132" s="20">
        <v>9000</v>
      </c>
    </row>
    <row r="133" spans="2:29" ht="15" customHeight="1" x14ac:dyDescent="0.15">
      <c r="B133" s="4" t="s">
        <v>222</v>
      </c>
      <c r="C133" s="19">
        <v>7.4074074074074068E-3</v>
      </c>
      <c r="D133" s="20">
        <v>1</v>
      </c>
      <c r="E133" s="27">
        <v>200</v>
      </c>
      <c r="F133" s="28">
        <v>25</v>
      </c>
      <c r="G133" s="29">
        <v>492</v>
      </c>
      <c r="H133" s="29">
        <v>492</v>
      </c>
      <c r="I133" s="29"/>
      <c r="J133" s="28">
        <v>492</v>
      </c>
      <c r="K133" s="27">
        <v>2650</v>
      </c>
      <c r="L133" s="28">
        <v>10</v>
      </c>
      <c r="M133" s="29">
        <v>1200</v>
      </c>
      <c r="N133" s="29">
        <v>1200</v>
      </c>
      <c r="O133" s="29">
        <v>6400</v>
      </c>
      <c r="P133" s="29">
        <v>1200</v>
      </c>
      <c r="Q133" s="28">
        <v>50</v>
      </c>
      <c r="V133" s="6">
        <v>300</v>
      </c>
      <c r="W133" s="20">
        <v>15000</v>
      </c>
    </row>
    <row r="134" spans="2:29" ht="15" customHeight="1" x14ac:dyDescent="0.15">
      <c r="B134" s="4" t="s">
        <v>223</v>
      </c>
      <c r="C134" s="19">
        <v>1.4814814814814814E-2</v>
      </c>
      <c r="D134" s="20">
        <v>130</v>
      </c>
      <c r="E134" s="27">
        <v>400</v>
      </c>
      <c r="F134" s="28">
        <v>35</v>
      </c>
      <c r="G134" s="29">
        <v>837</v>
      </c>
      <c r="H134" s="29">
        <v>837</v>
      </c>
      <c r="I134" s="29"/>
      <c r="J134" s="28">
        <v>837</v>
      </c>
      <c r="K134" s="27">
        <v>2675</v>
      </c>
      <c r="L134" s="28">
        <v>17</v>
      </c>
      <c r="M134" s="29">
        <v>1800</v>
      </c>
      <c r="N134" s="29">
        <v>1800</v>
      </c>
      <c r="O134" s="29"/>
      <c r="P134" s="29">
        <v>1800</v>
      </c>
      <c r="Q134" s="28">
        <v>50</v>
      </c>
      <c r="V134" s="6">
        <v>450</v>
      </c>
      <c r="W134" s="20">
        <v>22500</v>
      </c>
    </row>
    <row r="135" spans="2:29" ht="15" customHeight="1" x14ac:dyDescent="0.15">
      <c r="B135" s="4" t="s">
        <v>224</v>
      </c>
      <c r="C135" s="19">
        <v>2.9629629629629627E-2</v>
      </c>
      <c r="D135" s="20">
        <v>130</v>
      </c>
      <c r="E135" s="27">
        <v>500</v>
      </c>
      <c r="F135" s="28">
        <v>55</v>
      </c>
      <c r="G135" s="29">
        <v>1674</v>
      </c>
      <c r="H135" s="29">
        <v>1674</v>
      </c>
      <c r="I135" s="29"/>
      <c r="J135" s="28">
        <v>1674</v>
      </c>
      <c r="K135" s="27">
        <v>2500</v>
      </c>
      <c r="L135" s="28">
        <v>27</v>
      </c>
      <c r="M135" s="29">
        <v>1300</v>
      </c>
      <c r="N135" s="29">
        <v>1300</v>
      </c>
      <c r="O135" s="29"/>
      <c r="P135" s="29">
        <v>1300</v>
      </c>
      <c r="Q135" s="28">
        <v>100</v>
      </c>
      <c r="R135" s="32" t="s">
        <v>158</v>
      </c>
      <c r="V135" s="6">
        <v>630</v>
      </c>
      <c r="W135" s="20">
        <v>31500</v>
      </c>
    </row>
    <row r="136" spans="2:29" ht="15" customHeight="1" x14ac:dyDescent="0.15">
      <c r="B136" s="4" t="s">
        <v>225</v>
      </c>
      <c r="C136" s="19">
        <v>5.9259259259259262E-2</v>
      </c>
      <c r="D136" s="20">
        <v>300</v>
      </c>
      <c r="E136" s="27">
        <v>500</v>
      </c>
      <c r="F136" s="28">
        <v>85</v>
      </c>
      <c r="G136" s="29">
        <v>3348</v>
      </c>
      <c r="H136" s="29">
        <v>3348</v>
      </c>
      <c r="I136" s="29"/>
      <c r="J136" s="28">
        <v>3348</v>
      </c>
      <c r="K136" s="27">
        <v>2500</v>
      </c>
      <c r="L136" s="28">
        <v>45</v>
      </c>
      <c r="M136" s="29">
        <v>2300</v>
      </c>
      <c r="N136" s="29">
        <v>2300</v>
      </c>
      <c r="O136" s="29"/>
      <c r="P136" s="29">
        <v>2300</v>
      </c>
      <c r="Q136" s="28">
        <v>50</v>
      </c>
      <c r="R136" s="32" t="s">
        <v>61</v>
      </c>
      <c r="V136" s="6">
        <v>840</v>
      </c>
      <c r="W136" s="20">
        <v>52500</v>
      </c>
    </row>
    <row r="137" spans="2:29" ht="15" customHeight="1" x14ac:dyDescent="0.15">
      <c r="B137" s="4" t="s">
        <v>226</v>
      </c>
      <c r="C137" s="19">
        <v>0.11851851851851852</v>
      </c>
      <c r="D137" s="20">
        <v>300</v>
      </c>
      <c r="E137" s="27">
        <v>500</v>
      </c>
      <c r="F137" s="28">
        <v>125</v>
      </c>
      <c r="G137" s="29">
        <v>6696</v>
      </c>
      <c r="H137" s="29">
        <v>6696</v>
      </c>
      <c r="I137" s="29"/>
      <c r="J137" s="28">
        <v>6696</v>
      </c>
      <c r="K137" s="27">
        <v>2500</v>
      </c>
      <c r="L137" s="28">
        <v>70</v>
      </c>
      <c r="M137" s="29">
        <v>4100</v>
      </c>
      <c r="N137" s="29">
        <v>4100</v>
      </c>
      <c r="O137" s="29"/>
      <c r="P137" s="29">
        <v>4100</v>
      </c>
      <c r="Q137" s="28">
        <v>100</v>
      </c>
      <c r="R137" s="32" t="s">
        <v>64</v>
      </c>
      <c r="V137" s="6">
        <v>1080</v>
      </c>
      <c r="W137" s="20">
        <v>76500</v>
      </c>
    </row>
    <row r="138" spans="2:29" ht="15" customHeight="1" x14ac:dyDescent="0.15">
      <c r="B138" s="4" t="s">
        <v>227</v>
      </c>
      <c r="C138" s="19">
        <v>0.23703703703703705</v>
      </c>
      <c r="D138" s="20">
        <v>650</v>
      </c>
      <c r="E138" s="27">
        <v>500</v>
      </c>
      <c r="F138" s="28">
        <v>190</v>
      </c>
      <c r="G138" s="29">
        <v>13392</v>
      </c>
      <c r="H138" s="29">
        <v>13392</v>
      </c>
      <c r="I138" s="29"/>
      <c r="J138" s="28">
        <v>13392</v>
      </c>
      <c r="K138" s="27">
        <v>10000</v>
      </c>
      <c r="L138" s="28">
        <v>107</v>
      </c>
      <c r="M138" s="29">
        <v>7400</v>
      </c>
      <c r="N138" s="29">
        <v>7400</v>
      </c>
      <c r="O138" s="29"/>
      <c r="P138" s="29">
        <v>7400</v>
      </c>
      <c r="Q138" s="28">
        <v>150</v>
      </c>
      <c r="R138" s="32" t="s">
        <v>67</v>
      </c>
      <c r="V138" s="6">
        <v>1350</v>
      </c>
      <c r="W138" s="20">
        <v>103500</v>
      </c>
    </row>
    <row r="139" spans="2:29" ht="15" customHeight="1" x14ac:dyDescent="0.15">
      <c r="B139" s="4" t="s">
        <v>228</v>
      </c>
      <c r="C139" s="19">
        <v>0.47407407407407409</v>
      </c>
      <c r="D139" s="20">
        <v>650</v>
      </c>
      <c r="E139" s="27">
        <v>500</v>
      </c>
      <c r="F139" s="28">
        <v>285</v>
      </c>
      <c r="G139" s="29">
        <v>20088</v>
      </c>
      <c r="H139" s="29">
        <v>20088</v>
      </c>
      <c r="I139" s="29"/>
      <c r="J139" s="28">
        <v>20088</v>
      </c>
      <c r="K139" s="27">
        <v>10000</v>
      </c>
      <c r="L139" s="28">
        <v>165</v>
      </c>
      <c r="M139" s="29">
        <v>4017</v>
      </c>
      <c r="N139" s="29">
        <v>4017</v>
      </c>
      <c r="O139" s="29"/>
      <c r="P139" s="29">
        <v>4017</v>
      </c>
      <c r="Q139" s="28">
        <v>100</v>
      </c>
      <c r="R139" s="32" t="s">
        <v>71</v>
      </c>
      <c r="V139" s="6">
        <v>1650</v>
      </c>
      <c r="W139" s="20">
        <v>133500</v>
      </c>
    </row>
    <row r="140" spans="2:29" ht="15" customHeight="1" x14ac:dyDescent="0.15">
      <c r="B140" s="4" t="s">
        <v>229</v>
      </c>
      <c r="C140" s="19">
        <v>0.56888888888888889</v>
      </c>
      <c r="D140" s="20">
        <v>1000</v>
      </c>
      <c r="E140" s="27">
        <v>500</v>
      </c>
      <c r="F140" s="28">
        <v>430</v>
      </c>
      <c r="G140" s="29">
        <v>30132</v>
      </c>
      <c r="H140" s="29">
        <v>30132</v>
      </c>
      <c r="I140" s="29"/>
      <c r="J140" s="28">
        <v>30132</v>
      </c>
      <c r="K140" s="27">
        <v>20000</v>
      </c>
      <c r="L140" s="28">
        <v>250</v>
      </c>
      <c r="M140" s="29">
        <v>5478</v>
      </c>
      <c r="N140" s="29">
        <v>5478</v>
      </c>
      <c r="O140" s="29"/>
      <c r="P140" s="29">
        <v>5478</v>
      </c>
      <c r="Q140" s="28">
        <v>80</v>
      </c>
      <c r="R140" s="32" t="s">
        <v>75</v>
      </c>
      <c r="V140" s="6">
        <v>1980</v>
      </c>
      <c r="W140" s="20">
        <v>166500</v>
      </c>
    </row>
    <row r="141" spans="2:29" ht="15" customHeight="1" x14ac:dyDescent="0.15">
      <c r="B141" s="4" t="s">
        <v>230</v>
      </c>
      <c r="E141" s="27"/>
      <c r="F141" s="28"/>
      <c r="G141" s="29"/>
      <c r="H141" s="29"/>
      <c r="I141" s="29"/>
      <c r="J141" s="28"/>
      <c r="K141" s="27"/>
      <c r="L141" s="28"/>
      <c r="M141" s="29"/>
      <c r="N141" s="29"/>
      <c r="O141" s="29"/>
      <c r="P141" s="29"/>
      <c r="Q141" s="28"/>
      <c r="R141" s="32" t="s">
        <v>79</v>
      </c>
      <c r="V141" s="6">
        <v>2340</v>
      </c>
      <c r="W141" s="20">
        <v>202500</v>
      </c>
    </row>
    <row r="142" spans="2:29" ht="15" customHeight="1" x14ac:dyDescent="0.15">
      <c r="B142" s="4" t="s">
        <v>231</v>
      </c>
      <c r="E142" s="27"/>
      <c r="F142" s="28"/>
      <c r="G142" s="29"/>
      <c r="H142" s="29"/>
      <c r="I142" s="29"/>
      <c r="J142" s="28"/>
      <c r="K142" s="27"/>
      <c r="L142" s="28"/>
      <c r="M142" s="29"/>
      <c r="N142" s="29"/>
      <c r="O142" s="29"/>
      <c r="P142" s="29"/>
      <c r="Q142" s="28"/>
      <c r="R142" s="32" t="s">
        <v>81</v>
      </c>
      <c r="V142" s="6">
        <v>2730</v>
      </c>
      <c r="W142" s="20">
        <v>241500</v>
      </c>
    </row>
    <row r="143" spans="2:29" ht="15" customHeight="1" x14ac:dyDescent="0.15">
      <c r="B143" s="4" t="s">
        <v>232</v>
      </c>
      <c r="E143" s="27"/>
      <c r="F143" s="28"/>
      <c r="G143" s="29"/>
      <c r="H143" s="29"/>
      <c r="I143" s="29"/>
      <c r="J143" s="28"/>
      <c r="K143" s="27"/>
      <c r="L143" s="28"/>
      <c r="M143" s="29"/>
      <c r="N143" s="29"/>
      <c r="O143" s="29"/>
      <c r="P143" s="29"/>
      <c r="Q143" s="28"/>
      <c r="R143" s="32" t="s">
        <v>83</v>
      </c>
      <c r="V143" s="6">
        <v>3150</v>
      </c>
      <c r="W143" s="20">
        <v>304500</v>
      </c>
    </row>
    <row r="144" spans="2:29" ht="15" customHeight="1" x14ac:dyDescent="0.15">
      <c r="B144" s="4" t="s">
        <v>233</v>
      </c>
      <c r="E144" s="27"/>
      <c r="F144" s="28"/>
      <c r="G144" s="29"/>
      <c r="H144" s="29"/>
      <c r="I144" s="29"/>
      <c r="J144" s="28"/>
      <c r="K144" s="27"/>
      <c r="L144" s="28"/>
      <c r="M144" s="29"/>
      <c r="N144" s="29"/>
      <c r="O144" s="29"/>
      <c r="P144" s="29"/>
      <c r="Q144" s="28"/>
      <c r="R144" s="32" t="s">
        <v>85</v>
      </c>
      <c r="V144" s="6">
        <v>3600</v>
      </c>
      <c r="W144" s="20">
        <v>372000</v>
      </c>
    </row>
    <row r="145" spans="2:29" ht="15" customHeight="1" x14ac:dyDescent="0.15">
      <c r="B145" s="33" t="s">
        <v>234</v>
      </c>
      <c r="C145" s="34"/>
      <c r="E145" s="27"/>
      <c r="F145" s="28"/>
      <c r="G145" s="27"/>
      <c r="H145" s="27"/>
      <c r="I145" s="27"/>
      <c r="J145" s="28"/>
      <c r="K145" s="27"/>
      <c r="L145" s="28"/>
      <c r="M145" s="27"/>
      <c r="N145" s="27"/>
      <c r="O145" s="27"/>
      <c r="P145" s="27"/>
      <c r="Q145" s="28"/>
      <c r="R145" s="32" t="s">
        <v>88</v>
      </c>
      <c r="S145" s="33"/>
      <c r="T145" s="33"/>
      <c r="V145" s="6">
        <v>4080</v>
      </c>
      <c r="W145" s="20">
        <v>444000</v>
      </c>
      <c r="X145" s="31"/>
      <c r="Z145" s="31"/>
      <c r="AB145" s="31"/>
    </row>
    <row r="146" spans="2:29" ht="15" customHeight="1" x14ac:dyDescent="0.15">
      <c r="B146" s="33" t="s">
        <v>235</v>
      </c>
      <c r="C146" s="34"/>
      <c r="E146" s="27"/>
      <c r="F146" s="28"/>
      <c r="G146" s="27"/>
      <c r="H146" s="27"/>
      <c r="I146" s="27"/>
      <c r="J146" s="28"/>
      <c r="K146" s="27"/>
      <c r="L146" s="28"/>
      <c r="M146" s="27"/>
      <c r="N146" s="27"/>
      <c r="O146" s="27"/>
      <c r="P146" s="27"/>
      <c r="Q146" s="28"/>
      <c r="R146" s="32" t="s">
        <v>90</v>
      </c>
      <c r="S146" s="33"/>
      <c r="T146" s="33"/>
      <c r="V146" s="6">
        <v>4590</v>
      </c>
      <c r="W146" s="20">
        <v>520500</v>
      </c>
      <c r="X146" s="31"/>
      <c r="Z146" s="31"/>
      <c r="AB146" s="31"/>
    </row>
    <row r="147" spans="2:29" ht="15" customHeight="1" x14ac:dyDescent="0.15">
      <c r="B147" s="33" t="s">
        <v>236</v>
      </c>
      <c r="C147" s="34"/>
      <c r="E147" s="27"/>
      <c r="F147" s="28"/>
      <c r="G147" s="27"/>
      <c r="H147" s="27"/>
      <c r="I147" s="27"/>
      <c r="J147" s="28"/>
      <c r="K147" s="27"/>
      <c r="L147" s="28"/>
      <c r="M147" s="27"/>
      <c r="N147" s="27"/>
      <c r="O147" s="27"/>
      <c r="P147" s="27"/>
      <c r="Q147" s="28"/>
      <c r="R147" s="32" t="s">
        <v>92</v>
      </c>
      <c r="S147" s="33"/>
      <c r="T147" s="33"/>
      <c r="V147" s="6">
        <v>5130</v>
      </c>
      <c r="W147" s="20">
        <v>601500</v>
      </c>
      <c r="X147" s="31"/>
      <c r="Z147" s="31"/>
      <c r="AB147" s="31"/>
    </row>
    <row r="148" spans="2:29" ht="15" customHeight="1" x14ac:dyDescent="0.15">
      <c r="B148" s="33" t="s">
        <v>237</v>
      </c>
      <c r="C148" s="34"/>
      <c r="E148" s="27"/>
      <c r="F148" s="28"/>
      <c r="G148" s="27"/>
      <c r="H148" s="27"/>
      <c r="I148" s="27"/>
      <c r="J148" s="28"/>
      <c r="K148" s="27"/>
      <c r="L148" s="28"/>
      <c r="M148" s="27"/>
      <c r="N148" s="27"/>
      <c r="O148" s="27"/>
      <c r="P148" s="27"/>
      <c r="Q148" s="28"/>
      <c r="R148" s="32" t="s">
        <v>94</v>
      </c>
      <c r="S148" s="33"/>
      <c r="T148" s="33"/>
      <c r="V148" s="6">
        <v>5700</v>
      </c>
      <c r="W148" s="20">
        <v>687000</v>
      </c>
      <c r="X148" s="31"/>
      <c r="Z148" s="31"/>
      <c r="AB148" s="31"/>
    </row>
    <row r="149" spans="2:29" ht="15" customHeight="1" x14ac:dyDescent="0.15">
      <c r="B149" s="33" t="s">
        <v>238</v>
      </c>
      <c r="C149" s="34"/>
      <c r="E149" s="27"/>
      <c r="F149" s="28"/>
      <c r="G149" s="27"/>
      <c r="H149" s="27"/>
      <c r="I149" s="27"/>
      <c r="J149" s="28"/>
      <c r="K149" s="27"/>
      <c r="L149" s="28"/>
      <c r="M149" s="27"/>
      <c r="N149" s="27"/>
      <c r="O149" s="27"/>
      <c r="P149" s="27"/>
      <c r="Q149" s="28"/>
      <c r="R149" s="32" t="s">
        <v>96</v>
      </c>
      <c r="S149" s="33"/>
      <c r="T149" s="33"/>
      <c r="V149" s="6">
        <v>6300</v>
      </c>
      <c r="W149" s="20">
        <v>777000</v>
      </c>
      <c r="X149" s="31"/>
      <c r="Z149" s="31"/>
      <c r="AB149" s="31"/>
    </row>
    <row r="150" spans="2:29" ht="15" customHeight="1" x14ac:dyDescent="0.15">
      <c r="B150" s="15" t="s">
        <v>239</v>
      </c>
      <c r="C150" s="35"/>
      <c r="D150" s="36"/>
      <c r="E150" s="37"/>
      <c r="F150" s="38"/>
      <c r="G150" s="37"/>
      <c r="H150" s="37"/>
      <c r="I150" s="37"/>
      <c r="J150" s="38"/>
      <c r="K150" s="37"/>
      <c r="L150" s="38"/>
      <c r="M150" s="37"/>
      <c r="N150" s="37"/>
      <c r="O150" s="37"/>
      <c r="P150" s="37"/>
      <c r="Q150" s="38"/>
      <c r="R150" s="39" t="s">
        <v>98</v>
      </c>
      <c r="S150" s="15"/>
      <c r="T150" s="15"/>
      <c r="U150" s="16"/>
      <c r="V150" s="40">
        <v>12600</v>
      </c>
      <c r="W150" s="36">
        <v>903000</v>
      </c>
      <c r="X150" s="45"/>
      <c r="Y150" s="36"/>
      <c r="Z150" s="45"/>
      <c r="AA150" s="36"/>
      <c r="AB150" s="45"/>
      <c r="AC150" s="46"/>
    </row>
    <row r="151" spans="2:29" ht="15" customHeight="1" x14ac:dyDescent="0.15">
      <c r="B151" s="33" t="s">
        <v>240</v>
      </c>
      <c r="C151" s="19">
        <v>6.9444444444444447E-4</v>
      </c>
      <c r="D151" s="20">
        <v>1</v>
      </c>
      <c r="E151" s="27">
        <v>10</v>
      </c>
      <c r="F151" s="28">
        <v>10</v>
      </c>
      <c r="G151" s="27">
        <v>200</v>
      </c>
      <c r="H151" s="27">
        <v>200</v>
      </c>
      <c r="I151" s="27">
        <v>50</v>
      </c>
      <c r="J151" s="28">
        <v>500</v>
      </c>
      <c r="K151" s="27">
        <v>2525</v>
      </c>
      <c r="L151" s="28">
        <v>2</v>
      </c>
      <c r="M151" s="27"/>
      <c r="N151" s="27"/>
      <c r="O151" s="27"/>
      <c r="P151" s="27"/>
      <c r="Q151" s="28">
        <v>550</v>
      </c>
      <c r="R151" s="33" t="s">
        <v>175</v>
      </c>
      <c r="S151" s="33" t="s">
        <v>150</v>
      </c>
      <c r="T151" s="33"/>
      <c r="V151" s="6">
        <v>20</v>
      </c>
      <c r="W151" s="20">
        <v>1000</v>
      </c>
      <c r="X151" s="31" t="s">
        <v>241</v>
      </c>
      <c r="Y151" s="44">
        <v>0.01</v>
      </c>
      <c r="Z151" s="31"/>
      <c r="AB151" s="31"/>
    </row>
    <row r="152" spans="2:29" ht="15" customHeight="1" x14ac:dyDescent="0.15">
      <c r="B152" s="33" t="s">
        <v>242</v>
      </c>
      <c r="C152" s="34">
        <v>1.1574074074074073E-3</v>
      </c>
      <c r="D152" s="20">
        <v>1</v>
      </c>
      <c r="E152" s="27">
        <v>25</v>
      </c>
      <c r="F152" s="28">
        <v>25</v>
      </c>
      <c r="G152" s="27">
        <v>340</v>
      </c>
      <c r="H152" s="27">
        <v>340</v>
      </c>
      <c r="I152" s="27">
        <v>85</v>
      </c>
      <c r="J152" s="28">
        <v>850</v>
      </c>
      <c r="K152" s="27">
        <v>2575</v>
      </c>
      <c r="L152" s="28">
        <v>5</v>
      </c>
      <c r="M152" s="27"/>
      <c r="N152" s="27"/>
      <c r="O152" s="27"/>
      <c r="P152" s="27"/>
      <c r="Q152" s="28">
        <v>750</v>
      </c>
      <c r="R152" s="33" t="s">
        <v>175</v>
      </c>
      <c r="S152" s="33" t="s">
        <v>150</v>
      </c>
      <c r="T152" s="33"/>
      <c r="V152" s="6">
        <v>60</v>
      </c>
      <c r="W152" s="20">
        <v>3000</v>
      </c>
      <c r="X152" s="30" t="s">
        <v>241</v>
      </c>
      <c r="Y152" s="44">
        <v>0.02</v>
      </c>
      <c r="Z152" s="31"/>
      <c r="AB152" s="31"/>
    </row>
    <row r="153" spans="2:29" ht="15" customHeight="1" x14ac:dyDescent="0.15">
      <c r="B153" s="33" t="s">
        <v>243</v>
      </c>
      <c r="C153" s="34">
        <v>2.3148148148148151E-3</v>
      </c>
      <c r="D153" s="20">
        <v>1</v>
      </c>
      <c r="E153" s="27">
        <v>50</v>
      </c>
      <c r="F153" s="28">
        <v>40</v>
      </c>
      <c r="G153" s="27">
        <v>578</v>
      </c>
      <c r="H153" s="27">
        <v>578</v>
      </c>
      <c r="I153" s="27">
        <v>145</v>
      </c>
      <c r="J153" s="28">
        <v>1445</v>
      </c>
      <c r="K153" s="27">
        <v>2600</v>
      </c>
      <c r="L153" s="28">
        <v>15</v>
      </c>
      <c r="M153" s="27"/>
      <c r="N153" s="27"/>
      <c r="O153" s="27"/>
      <c r="P153" s="27"/>
      <c r="Q153" s="28">
        <v>1050</v>
      </c>
      <c r="R153" s="33" t="s">
        <v>177</v>
      </c>
      <c r="S153" s="33" t="s">
        <v>152</v>
      </c>
      <c r="T153" s="33"/>
      <c r="V153" s="6">
        <v>120</v>
      </c>
      <c r="W153" s="20">
        <v>6000</v>
      </c>
      <c r="X153" s="30" t="s">
        <v>241</v>
      </c>
      <c r="Y153" s="44">
        <v>0.03</v>
      </c>
      <c r="Z153" s="31"/>
      <c r="AB153" s="31"/>
    </row>
    <row r="154" spans="2:29" ht="15" customHeight="1" x14ac:dyDescent="0.15">
      <c r="B154" s="33" t="s">
        <v>244</v>
      </c>
      <c r="C154" s="34">
        <v>4.6296296296296302E-3</v>
      </c>
      <c r="D154" s="20">
        <v>1</v>
      </c>
      <c r="E154" s="27">
        <v>200</v>
      </c>
      <c r="F154" s="28">
        <v>60</v>
      </c>
      <c r="G154" s="27">
        <v>983</v>
      </c>
      <c r="H154" s="27">
        <v>983</v>
      </c>
      <c r="I154" s="27">
        <v>247</v>
      </c>
      <c r="J154" s="28">
        <v>2457</v>
      </c>
      <c r="K154" s="27">
        <v>2650</v>
      </c>
      <c r="L154" s="28">
        <v>25</v>
      </c>
      <c r="M154" s="27">
        <v>2500</v>
      </c>
      <c r="N154" s="27">
        <v>2500</v>
      </c>
      <c r="O154" s="27">
        <v>700</v>
      </c>
      <c r="P154" s="27">
        <v>6300</v>
      </c>
      <c r="Q154" s="28">
        <v>50</v>
      </c>
      <c r="R154" s="33" t="s">
        <v>177</v>
      </c>
      <c r="S154" s="33" t="s">
        <v>152</v>
      </c>
      <c r="T154" s="33"/>
      <c r="V154" s="6">
        <v>200</v>
      </c>
      <c r="W154" s="20">
        <v>10000</v>
      </c>
      <c r="X154" s="30" t="s">
        <v>241</v>
      </c>
      <c r="Y154" s="44">
        <v>0.04</v>
      </c>
      <c r="Z154" s="31"/>
      <c r="AB154" s="31"/>
    </row>
    <row r="155" spans="2:29" ht="15" customHeight="1" x14ac:dyDescent="0.15">
      <c r="B155" s="33" t="s">
        <v>245</v>
      </c>
      <c r="C155" s="34">
        <v>9.2592592592592605E-3</v>
      </c>
      <c r="D155" s="20">
        <v>70</v>
      </c>
      <c r="E155" s="27">
        <v>400</v>
      </c>
      <c r="F155" s="28">
        <v>90</v>
      </c>
      <c r="G155" s="27">
        <v>1672</v>
      </c>
      <c r="H155" s="27">
        <v>1672</v>
      </c>
      <c r="I155" s="27">
        <v>420</v>
      </c>
      <c r="J155" s="28">
        <v>4177</v>
      </c>
      <c r="K155" s="27">
        <v>2675</v>
      </c>
      <c r="L155" s="28">
        <v>45</v>
      </c>
      <c r="M155" s="27">
        <v>3500</v>
      </c>
      <c r="N155" s="27">
        <v>7800</v>
      </c>
      <c r="O155" s="27">
        <v>900</v>
      </c>
      <c r="P155" s="27">
        <v>2000</v>
      </c>
      <c r="Q155" s="28">
        <v>950</v>
      </c>
      <c r="R155" s="33" t="s">
        <v>179</v>
      </c>
      <c r="S155" s="33" t="s">
        <v>154</v>
      </c>
      <c r="T155" s="33"/>
      <c r="V155" s="6">
        <v>300</v>
      </c>
      <c r="W155" s="20">
        <v>15000</v>
      </c>
      <c r="X155" s="30" t="s">
        <v>241</v>
      </c>
      <c r="Y155" s="44">
        <v>0.05</v>
      </c>
      <c r="Z155" s="31"/>
      <c r="AB155" s="31"/>
    </row>
    <row r="156" spans="2:29" ht="15" customHeight="1" x14ac:dyDescent="0.15">
      <c r="B156" s="33" t="s">
        <v>246</v>
      </c>
      <c r="C156" s="34">
        <v>1.8518518518518521E-2</v>
      </c>
      <c r="D156" s="20">
        <v>130</v>
      </c>
      <c r="E156" s="27">
        <v>500</v>
      </c>
      <c r="F156" s="28">
        <v>135</v>
      </c>
      <c r="G156" s="27">
        <v>3344</v>
      </c>
      <c r="H156" s="27">
        <v>3344</v>
      </c>
      <c r="I156" s="27">
        <v>840</v>
      </c>
      <c r="J156" s="28">
        <v>8354</v>
      </c>
      <c r="K156" s="27">
        <v>2500</v>
      </c>
      <c r="L156" s="28">
        <v>70</v>
      </c>
      <c r="M156" s="27">
        <v>2700</v>
      </c>
      <c r="N156" s="27">
        <v>2700</v>
      </c>
      <c r="O156" s="27">
        <v>700</v>
      </c>
      <c r="P156" s="27">
        <v>6900</v>
      </c>
      <c r="Q156" s="28">
        <v>100</v>
      </c>
      <c r="R156" s="33" t="s">
        <v>247</v>
      </c>
      <c r="S156" s="33" t="s">
        <v>248</v>
      </c>
      <c r="T156" s="33"/>
      <c r="V156" s="6">
        <v>420</v>
      </c>
      <c r="W156" s="20">
        <v>21000</v>
      </c>
      <c r="X156" s="30" t="s">
        <v>241</v>
      </c>
      <c r="Y156" s="44">
        <v>0.06</v>
      </c>
      <c r="Z156" s="31"/>
      <c r="AB156" s="31"/>
    </row>
    <row r="157" spans="2:29" ht="15" customHeight="1" x14ac:dyDescent="0.15">
      <c r="B157" s="33" t="s">
        <v>249</v>
      </c>
      <c r="C157" s="34">
        <v>3.7037037037037042E-2</v>
      </c>
      <c r="D157" s="20">
        <v>130</v>
      </c>
      <c r="E157" s="27">
        <v>500</v>
      </c>
      <c r="F157" s="28">
        <v>215</v>
      </c>
      <c r="G157" s="27">
        <v>6688</v>
      </c>
      <c r="H157" s="27">
        <v>6688</v>
      </c>
      <c r="I157" s="27">
        <v>1680</v>
      </c>
      <c r="J157" s="28">
        <v>16708</v>
      </c>
      <c r="K157" s="27">
        <v>2500</v>
      </c>
      <c r="L157" s="28">
        <v>115</v>
      </c>
      <c r="M157" s="27">
        <v>4700</v>
      </c>
      <c r="N157" s="27">
        <v>4700</v>
      </c>
      <c r="O157" s="27">
        <v>1200</v>
      </c>
      <c r="P157" s="27">
        <v>11900</v>
      </c>
      <c r="Q157" s="28">
        <v>50</v>
      </c>
      <c r="R157" s="32" t="s">
        <v>250</v>
      </c>
      <c r="S157" s="33" t="s">
        <v>251</v>
      </c>
      <c r="T157" s="33"/>
      <c r="V157" s="6">
        <v>560</v>
      </c>
      <c r="W157" s="20">
        <v>35000</v>
      </c>
      <c r="X157" s="30" t="s">
        <v>241</v>
      </c>
      <c r="Y157" s="44">
        <v>7.0000000000000007E-2</v>
      </c>
      <c r="Z157" s="31"/>
      <c r="AB157" s="31"/>
    </row>
    <row r="158" spans="2:29" ht="15" customHeight="1" x14ac:dyDescent="0.15">
      <c r="B158" s="33" t="s">
        <v>252</v>
      </c>
      <c r="C158" s="34">
        <v>7.407407407407407E-2</v>
      </c>
      <c r="D158" s="20">
        <v>300</v>
      </c>
      <c r="E158" s="27">
        <v>500</v>
      </c>
      <c r="F158" s="28">
        <v>310</v>
      </c>
      <c r="G158" s="27">
        <v>13376</v>
      </c>
      <c r="H158" s="27">
        <v>13376</v>
      </c>
      <c r="I158" s="27">
        <v>3360</v>
      </c>
      <c r="J158" s="28">
        <v>33416</v>
      </c>
      <c r="K158" s="27">
        <v>2500</v>
      </c>
      <c r="L158" s="28">
        <v>175</v>
      </c>
      <c r="M158" s="27">
        <v>8300</v>
      </c>
      <c r="N158" s="27">
        <v>8300</v>
      </c>
      <c r="O158" s="27">
        <v>2100</v>
      </c>
      <c r="P158" s="27">
        <v>20800</v>
      </c>
      <c r="Q158" s="28">
        <v>100</v>
      </c>
      <c r="R158" s="32" t="s">
        <v>184</v>
      </c>
      <c r="S158" s="33" t="s">
        <v>161</v>
      </c>
      <c r="T158" s="33"/>
      <c r="V158" s="6">
        <v>720</v>
      </c>
      <c r="W158" s="20">
        <v>51000</v>
      </c>
      <c r="X158" s="30" t="s">
        <v>241</v>
      </c>
      <c r="Y158" s="44">
        <v>0.08</v>
      </c>
      <c r="Z158" s="31"/>
      <c r="AB158" s="31"/>
    </row>
    <row r="159" spans="2:29" ht="15" customHeight="1" x14ac:dyDescent="0.15">
      <c r="B159" s="33" t="s">
        <v>253</v>
      </c>
      <c r="C159" s="34">
        <v>0.14814814814814814</v>
      </c>
      <c r="D159" s="20">
        <v>300</v>
      </c>
      <c r="E159" s="27">
        <v>500</v>
      </c>
      <c r="F159" s="28">
        <v>475</v>
      </c>
      <c r="G159" s="27">
        <v>26752</v>
      </c>
      <c r="H159" s="27">
        <v>26752</v>
      </c>
      <c r="I159" s="27">
        <v>6720</v>
      </c>
      <c r="J159" s="28">
        <v>66832</v>
      </c>
      <c r="K159" s="27">
        <v>10000</v>
      </c>
      <c r="L159" s="28">
        <v>250</v>
      </c>
      <c r="M159" s="27">
        <v>14800</v>
      </c>
      <c r="N159" s="27">
        <v>14800</v>
      </c>
      <c r="O159" s="27">
        <v>3700</v>
      </c>
      <c r="P159" s="27">
        <v>37100</v>
      </c>
      <c r="Q159" s="28">
        <v>150</v>
      </c>
      <c r="R159" s="32" t="s">
        <v>185</v>
      </c>
      <c r="S159" s="33" t="s">
        <v>162</v>
      </c>
      <c r="T159" s="33"/>
      <c r="V159" s="6">
        <v>900</v>
      </c>
      <c r="W159" s="20">
        <v>69000</v>
      </c>
      <c r="X159" s="30" t="s">
        <v>241</v>
      </c>
      <c r="Y159" s="44">
        <v>0.09</v>
      </c>
      <c r="Z159" s="31"/>
      <c r="AB159" s="31"/>
    </row>
    <row r="160" spans="2:29" ht="15" customHeight="1" x14ac:dyDescent="0.15">
      <c r="B160" s="33" t="s">
        <v>254</v>
      </c>
      <c r="C160" s="34">
        <v>0.29629629629629628</v>
      </c>
      <c r="D160" s="20">
        <v>650</v>
      </c>
      <c r="E160" s="27">
        <v>500</v>
      </c>
      <c r="F160" s="28">
        <v>715</v>
      </c>
      <c r="G160" s="27">
        <v>40128</v>
      </c>
      <c r="H160" s="27">
        <v>40128</v>
      </c>
      <c r="I160" s="27">
        <v>10080</v>
      </c>
      <c r="J160" s="28">
        <v>100248</v>
      </c>
      <c r="K160" s="27">
        <v>10000</v>
      </c>
      <c r="L160" s="28">
        <v>400</v>
      </c>
      <c r="M160" s="27">
        <v>8025</v>
      </c>
      <c r="N160" s="27">
        <v>8025</v>
      </c>
      <c r="O160" s="27">
        <v>2016</v>
      </c>
      <c r="P160" s="27">
        <v>20049</v>
      </c>
      <c r="Q160" s="28">
        <v>100</v>
      </c>
      <c r="R160" s="32" t="s">
        <v>186</v>
      </c>
      <c r="S160" s="33" t="s">
        <v>163</v>
      </c>
      <c r="T160" s="33"/>
      <c r="V160" s="6">
        <v>1100</v>
      </c>
      <c r="W160" s="20">
        <v>89000</v>
      </c>
      <c r="X160" s="30" t="s">
        <v>241</v>
      </c>
      <c r="Y160" s="44">
        <v>0.1</v>
      </c>
      <c r="Z160" s="31"/>
      <c r="AB160" s="31"/>
    </row>
    <row r="161" spans="2:29" ht="15" customHeight="1" x14ac:dyDescent="0.15">
      <c r="B161" s="33" t="s">
        <v>255</v>
      </c>
      <c r="C161" s="34">
        <v>0.35555555555555557</v>
      </c>
      <c r="D161" s="20">
        <v>650</v>
      </c>
      <c r="E161" s="27">
        <v>500</v>
      </c>
      <c r="F161" s="28">
        <v>1075</v>
      </c>
      <c r="G161" s="27">
        <v>60192</v>
      </c>
      <c r="H161" s="27">
        <v>60192</v>
      </c>
      <c r="I161" s="27">
        <v>15120</v>
      </c>
      <c r="J161" s="28">
        <v>150372</v>
      </c>
      <c r="K161" s="27">
        <v>20000</v>
      </c>
      <c r="L161" s="28">
        <v>625</v>
      </c>
      <c r="M161" s="27">
        <v>10944</v>
      </c>
      <c r="N161" s="27">
        <v>10944</v>
      </c>
      <c r="O161" s="27">
        <v>2749</v>
      </c>
      <c r="P161" s="27">
        <v>27340</v>
      </c>
      <c r="Q161" s="28">
        <v>80</v>
      </c>
      <c r="R161" s="32" t="s">
        <v>187</v>
      </c>
      <c r="S161" s="33" t="s">
        <v>164</v>
      </c>
      <c r="T161" s="33"/>
      <c r="V161" s="6">
        <v>1320</v>
      </c>
      <c r="W161" s="20">
        <v>111000</v>
      </c>
      <c r="X161" s="30" t="s">
        <v>241</v>
      </c>
      <c r="Y161" s="44">
        <v>0.11</v>
      </c>
      <c r="Z161" s="31"/>
      <c r="AB161" s="31"/>
    </row>
    <row r="162" spans="2:29" ht="15" customHeight="1" x14ac:dyDescent="0.15">
      <c r="B162" s="33" t="s">
        <v>256</v>
      </c>
      <c r="C162" s="34"/>
      <c r="E162" s="27"/>
      <c r="F162" s="28"/>
      <c r="G162" s="27"/>
      <c r="H162" s="27"/>
      <c r="I162" s="27"/>
      <c r="J162" s="28"/>
      <c r="K162" s="27"/>
      <c r="L162" s="28"/>
      <c r="M162" s="27"/>
      <c r="N162" s="27"/>
      <c r="O162" s="27"/>
      <c r="P162" s="27"/>
      <c r="Q162" s="28"/>
      <c r="R162" s="32" t="s">
        <v>188</v>
      </c>
      <c r="S162" s="33" t="s">
        <v>165</v>
      </c>
      <c r="T162" s="33"/>
      <c r="V162" s="6">
        <v>1560</v>
      </c>
      <c r="W162" s="20">
        <v>135000</v>
      </c>
      <c r="X162" s="30" t="s">
        <v>241</v>
      </c>
      <c r="Y162" s="44">
        <v>0.12</v>
      </c>
      <c r="Z162" s="31"/>
      <c r="AB162" s="31"/>
    </row>
    <row r="163" spans="2:29" ht="15" customHeight="1" x14ac:dyDescent="0.15">
      <c r="B163" s="33" t="s">
        <v>257</v>
      </c>
      <c r="C163" s="34"/>
      <c r="E163" s="27"/>
      <c r="F163" s="28"/>
      <c r="G163" s="27"/>
      <c r="H163" s="27"/>
      <c r="I163" s="27"/>
      <c r="J163" s="28"/>
      <c r="K163" s="27"/>
      <c r="L163" s="28"/>
      <c r="M163" s="27"/>
      <c r="N163" s="27"/>
      <c r="O163" s="27"/>
      <c r="P163" s="27"/>
      <c r="Q163" s="28"/>
      <c r="R163" s="32" t="s">
        <v>189</v>
      </c>
      <c r="S163" s="33" t="s">
        <v>166</v>
      </c>
      <c r="T163" s="33"/>
      <c r="V163" s="6">
        <v>1820</v>
      </c>
      <c r="W163" s="20">
        <v>161000</v>
      </c>
      <c r="X163" s="30" t="s">
        <v>241</v>
      </c>
      <c r="Y163" s="44">
        <v>0.13</v>
      </c>
      <c r="Z163" s="31"/>
      <c r="AB163" s="31"/>
    </row>
    <row r="164" spans="2:29" ht="15" customHeight="1" x14ac:dyDescent="0.15">
      <c r="B164" s="33" t="s">
        <v>258</v>
      </c>
      <c r="C164" s="34"/>
      <c r="E164" s="27"/>
      <c r="F164" s="28"/>
      <c r="G164" s="27"/>
      <c r="H164" s="27"/>
      <c r="I164" s="27"/>
      <c r="J164" s="28"/>
      <c r="K164" s="27"/>
      <c r="L164" s="28"/>
      <c r="M164" s="27"/>
      <c r="N164" s="27"/>
      <c r="O164" s="27"/>
      <c r="P164" s="27"/>
      <c r="Q164" s="28"/>
      <c r="R164" s="32" t="s">
        <v>190</v>
      </c>
      <c r="S164" s="33" t="s">
        <v>167</v>
      </c>
      <c r="T164" s="33"/>
      <c r="V164" s="6">
        <v>2100</v>
      </c>
      <c r="W164" s="20">
        <v>203000</v>
      </c>
      <c r="X164" s="30" t="s">
        <v>241</v>
      </c>
      <c r="Y164" s="44">
        <v>0.14000000000000001</v>
      </c>
      <c r="Z164" s="31"/>
      <c r="AB164" s="31"/>
    </row>
    <row r="165" spans="2:29" ht="15" customHeight="1" x14ac:dyDescent="0.15">
      <c r="B165" s="33" t="s">
        <v>259</v>
      </c>
      <c r="C165" s="34"/>
      <c r="E165" s="27"/>
      <c r="F165" s="28"/>
      <c r="G165" s="27"/>
      <c r="H165" s="27"/>
      <c r="I165" s="27"/>
      <c r="J165" s="28"/>
      <c r="K165" s="27"/>
      <c r="L165" s="28"/>
      <c r="M165" s="27"/>
      <c r="N165" s="27"/>
      <c r="O165" s="27"/>
      <c r="P165" s="27"/>
      <c r="Q165" s="28"/>
      <c r="R165" s="32" t="s">
        <v>191</v>
      </c>
      <c r="S165" s="33" t="s">
        <v>168</v>
      </c>
      <c r="T165" s="33"/>
      <c r="V165" s="6">
        <v>2400</v>
      </c>
      <c r="W165" s="20">
        <v>248000</v>
      </c>
      <c r="X165" s="30" t="s">
        <v>241</v>
      </c>
      <c r="Y165" s="44">
        <v>0.15</v>
      </c>
      <c r="Z165" s="31"/>
      <c r="AB165" s="31"/>
    </row>
    <row r="166" spans="2:29" ht="15" customHeight="1" x14ac:dyDescent="0.15">
      <c r="B166" s="33" t="s">
        <v>260</v>
      </c>
      <c r="C166" s="34"/>
      <c r="E166" s="27"/>
      <c r="F166" s="28"/>
      <c r="G166" s="27"/>
      <c r="H166" s="27"/>
      <c r="I166" s="27"/>
      <c r="J166" s="28"/>
      <c r="K166" s="27"/>
      <c r="L166" s="28"/>
      <c r="M166" s="27"/>
      <c r="N166" s="27"/>
      <c r="O166" s="27"/>
      <c r="P166" s="27"/>
      <c r="Q166" s="28"/>
      <c r="R166" s="32" t="s">
        <v>192</v>
      </c>
      <c r="S166" s="33" t="s">
        <v>169</v>
      </c>
      <c r="T166" s="33"/>
      <c r="V166" s="6">
        <v>2720</v>
      </c>
      <c r="W166" s="20">
        <v>296000</v>
      </c>
      <c r="X166" s="30" t="s">
        <v>241</v>
      </c>
      <c r="Y166" s="44">
        <v>0.16</v>
      </c>
      <c r="Z166" s="31"/>
      <c r="AB166" s="31"/>
    </row>
    <row r="167" spans="2:29" ht="15" customHeight="1" x14ac:dyDescent="0.15">
      <c r="B167" s="33" t="s">
        <v>261</v>
      </c>
      <c r="C167" s="34"/>
      <c r="E167" s="27"/>
      <c r="F167" s="28"/>
      <c r="G167" s="27"/>
      <c r="H167" s="27"/>
      <c r="I167" s="27"/>
      <c r="J167" s="28"/>
      <c r="K167" s="27"/>
      <c r="L167" s="28"/>
      <c r="M167" s="27"/>
      <c r="N167" s="27"/>
      <c r="O167" s="27"/>
      <c r="P167" s="27"/>
      <c r="Q167" s="28"/>
      <c r="R167" s="32" t="s">
        <v>193</v>
      </c>
      <c r="S167" s="33" t="s">
        <v>170</v>
      </c>
      <c r="T167" s="33"/>
      <c r="V167" s="6">
        <v>3060</v>
      </c>
      <c r="W167" s="20">
        <v>347000</v>
      </c>
      <c r="X167" s="30" t="s">
        <v>241</v>
      </c>
      <c r="Y167" s="44">
        <v>0.17</v>
      </c>
      <c r="Z167" s="31"/>
      <c r="AB167" s="31"/>
    </row>
    <row r="168" spans="2:29" ht="15" customHeight="1" x14ac:dyDescent="0.15">
      <c r="B168" s="33" t="s">
        <v>262</v>
      </c>
      <c r="C168" s="34"/>
      <c r="E168" s="27"/>
      <c r="F168" s="28"/>
      <c r="G168" s="27"/>
      <c r="H168" s="27"/>
      <c r="I168" s="27"/>
      <c r="J168" s="28"/>
      <c r="K168" s="27"/>
      <c r="L168" s="28"/>
      <c r="M168" s="27"/>
      <c r="N168" s="27"/>
      <c r="O168" s="27"/>
      <c r="P168" s="27"/>
      <c r="Q168" s="28"/>
      <c r="R168" s="32" t="s">
        <v>194</v>
      </c>
      <c r="S168" s="33" t="s">
        <v>171</v>
      </c>
      <c r="T168" s="33"/>
      <c r="V168" s="6">
        <v>3420</v>
      </c>
      <c r="W168" s="20">
        <v>401000</v>
      </c>
      <c r="X168" s="30" t="s">
        <v>241</v>
      </c>
      <c r="Y168" s="44">
        <v>0.18</v>
      </c>
      <c r="Z168" s="31"/>
      <c r="AB168" s="31"/>
    </row>
    <row r="169" spans="2:29" ht="15" customHeight="1" x14ac:dyDescent="0.15">
      <c r="B169" s="33" t="s">
        <v>263</v>
      </c>
      <c r="C169" s="34"/>
      <c r="E169" s="27"/>
      <c r="F169" s="28"/>
      <c r="G169" s="27"/>
      <c r="H169" s="27"/>
      <c r="I169" s="27"/>
      <c r="J169" s="28"/>
      <c r="K169" s="27"/>
      <c r="L169" s="28"/>
      <c r="M169" s="27"/>
      <c r="N169" s="27"/>
      <c r="O169" s="27"/>
      <c r="P169" s="27"/>
      <c r="Q169" s="28"/>
      <c r="R169" s="32" t="s">
        <v>195</v>
      </c>
      <c r="S169" s="33" t="s">
        <v>172</v>
      </c>
      <c r="T169" s="33"/>
      <c r="V169" s="6">
        <v>3800</v>
      </c>
      <c r="W169" s="20">
        <v>458000</v>
      </c>
      <c r="X169" s="30" t="s">
        <v>241</v>
      </c>
      <c r="Y169" s="44">
        <v>0.19</v>
      </c>
      <c r="Z169" s="31"/>
      <c r="AB169" s="31"/>
    </row>
    <row r="170" spans="2:29" ht="15" customHeight="1" x14ac:dyDescent="0.15">
      <c r="B170" s="33" t="s">
        <v>264</v>
      </c>
      <c r="C170" s="34"/>
      <c r="E170" s="27"/>
      <c r="F170" s="28"/>
      <c r="G170" s="27"/>
      <c r="H170" s="27"/>
      <c r="I170" s="27"/>
      <c r="J170" s="28"/>
      <c r="K170" s="27"/>
      <c r="L170" s="28"/>
      <c r="M170" s="27"/>
      <c r="N170" s="27"/>
      <c r="O170" s="27"/>
      <c r="P170" s="27"/>
      <c r="Q170" s="28"/>
      <c r="R170" s="32" t="s">
        <v>196</v>
      </c>
      <c r="S170" s="33" t="s">
        <v>173</v>
      </c>
      <c r="T170" s="33"/>
      <c r="V170" s="6">
        <v>4200</v>
      </c>
      <c r="W170" s="20">
        <v>518000</v>
      </c>
      <c r="X170" s="30" t="s">
        <v>241</v>
      </c>
      <c r="Y170" s="44">
        <v>0.2</v>
      </c>
      <c r="Z170" s="31"/>
      <c r="AB170" s="31"/>
    </row>
    <row r="171" spans="2:29" ht="15" customHeight="1" x14ac:dyDescent="0.15">
      <c r="B171" s="15" t="s">
        <v>265</v>
      </c>
      <c r="C171" s="35"/>
      <c r="D171" s="36"/>
      <c r="E171" s="37"/>
      <c r="F171" s="38"/>
      <c r="G171" s="37"/>
      <c r="H171" s="37"/>
      <c r="I171" s="37"/>
      <c r="J171" s="38"/>
      <c r="K171" s="37"/>
      <c r="L171" s="38"/>
      <c r="M171" s="37"/>
      <c r="N171" s="37"/>
      <c r="O171" s="37"/>
      <c r="P171" s="37"/>
      <c r="Q171" s="38"/>
      <c r="R171" s="39" t="s">
        <v>197</v>
      </c>
      <c r="S171" s="15" t="s">
        <v>174</v>
      </c>
      <c r="T171" s="15"/>
      <c r="U171" s="16"/>
      <c r="V171" s="40">
        <v>4620</v>
      </c>
      <c r="W171" s="36">
        <v>602000</v>
      </c>
      <c r="X171" s="41" t="s">
        <v>241</v>
      </c>
      <c r="Y171" s="46">
        <v>0.25</v>
      </c>
      <c r="Z171" s="45" t="s">
        <v>266</v>
      </c>
      <c r="AA171" s="46">
        <v>0.02</v>
      </c>
      <c r="AB171" s="45"/>
      <c r="AC171" s="46"/>
    </row>
    <row r="172" spans="2:29" ht="15" customHeight="1" x14ac:dyDescent="0.15">
      <c r="B172" s="4" t="s">
        <v>267</v>
      </c>
      <c r="C172" s="19">
        <v>1.0416666666666667E-3</v>
      </c>
      <c r="D172" s="20">
        <v>1</v>
      </c>
      <c r="E172" s="27">
        <v>10</v>
      </c>
      <c r="F172" s="28">
        <v>20</v>
      </c>
      <c r="G172" s="29">
        <v>500</v>
      </c>
      <c r="H172" s="29">
        <v>400</v>
      </c>
      <c r="I172" s="29">
        <v>300</v>
      </c>
      <c r="J172" s="28">
        <v>250</v>
      </c>
      <c r="K172" s="27">
        <v>2525</v>
      </c>
      <c r="L172" s="28">
        <v>2</v>
      </c>
      <c r="M172" s="29">
        <v>5000</v>
      </c>
      <c r="N172" s="29">
        <v>4000</v>
      </c>
      <c r="O172" s="29">
        <v>3000</v>
      </c>
      <c r="P172" s="29">
        <v>2500</v>
      </c>
      <c r="Q172" s="28">
        <v>100</v>
      </c>
      <c r="R172" s="4" t="s">
        <v>43</v>
      </c>
      <c r="X172" s="7" t="s">
        <v>268</v>
      </c>
      <c r="Y172" s="20">
        <v>20</v>
      </c>
      <c r="AA172" s="44"/>
    </row>
    <row r="173" spans="2:29" ht="15" customHeight="1" x14ac:dyDescent="0.15">
      <c r="B173" s="4" t="s">
        <v>269</v>
      </c>
      <c r="C173" s="19">
        <v>2.0833333333333333E-3</v>
      </c>
      <c r="D173" s="20">
        <v>1</v>
      </c>
      <c r="E173" s="27">
        <v>25</v>
      </c>
      <c r="F173" s="28">
        <v>40</v>
      </c>
      <c r="G173" s="29">
        <v>850</v>
      </c>
      <c r="H173" s="29">
        <v>680</v>
      </c>
      <c r="I173" s="29">
        <v>425</v>
      </c>
      <c r="J173" s="28">
        <v>510</v>
      </c>
      <c r="K173" s="27">
        <v>2575</v>
      </c>
      <c r="L173" s="28">
        <v>10</v>
      </c>
      <c r="M173" s="29">
        <v>2200</v>
      </c>
      <c r="N173" s="29">
        <v>1800</v>
      </c>
      <c r="O173" s="29">
        <v>1400</v>
      </c>
      <c r="P173" s="29">
        <v>1100</v>
      </c>
      <c r="Q173" s="28">
        <v>200</v>
      </c>
      <c r="R173" s="4" t="s">
        <v>270</v>
      </c>
      <c r="X173" s="30" t="s">
        <v>268</v>
      </c>
      <c r="Y173" s="20">
        <v>50</v>
      </c>
      <c r="Z173" s="30"/>
      <c r="AA173" s="44"/>
      <c r="AB173" s="30"/>
    </row>
    <row r="174" spans="2:29" ht="15" customHeight="1" x14ac:dyDescent="0.15">
      <c r="B174" s="4" t="s">
        <v>271</v>
      </c>
      <c r="C174" s="19">
        <v>4.1666666666666666E-3</v>
      </c>
      <c r="D174" s="20">
        <v>1</v>
      </c>
      <c r="E174" s="27">
        <v>50</v>
      </c>
      <c r="F174" s="28">
        <v>60</v>
      </c>
      <c r="G174" s="29">
        <v>1445</v>
      </c>
      <c r="H174" s="29">
        <v>1156</v>
      </c>
      <c r="I174" s="29">
        <v>867</v>
      </c>
      <c r="J174" s="28">
        <v>723</v>
      </c>
      <c r="K174" s="27">
        <v>2600</v>
      </c>
      <c r="L174" s="28">
        <v>22</v>
      </c>
      <c r="M174" s="29">
        <v>2500</v>
      </c>
      <c r="N174" s="29">
        <v>1900</v>
      </c>
      <c r="O174" s="29">
        <v>1500</v>
      </c>
      <c r="P174" s="29">
        <v>1200</v>
      </c>
      <c r="Q174" s="28">
        <v>200</v>
      </c>
      <c r="R174" s="4" t="s">
        <v>272</v>
      </c>
      <c r="X174" s="30" t="s">
        <v>268</v>
      </c>
      <c r="Y174" s="20">
        <v>100</v>
      </c>
      <c r="Z174" s="30"/>
      <c r="AA174" s="44"/>
      <c r="AB174" s="30"/>
    </row>
    <row r="175" spans="2:29" ht="15" customHeight="1" x14ac:dyDescent="0.15">
      <c r="B175" s="4" t="s">
        <v>273</v>
      </c>
      <c r="C175" s="19">
        <v>8.3333333333333332E-3</v>
      </c>
      <c r="D175" s="20">
        <v>1</v>
      </c>
      <c r="E175" s="27">
        <v>200</v>
      </c>
      <c r="F175" s="28">
        <v>100</v>
      </c>
      <c r="G175" s="29">
        <v>2547</v>
      </c>
      <c r="H175" s="29">
        <v>1966</v>
      </c>
      <c r="I175" s="29">
        <v>1474</v>
      </c>
      <c r="J175" s="28">
        <v>1230</v>
      </c>
      <c r="K175" s="27">
        <v>2650</v>
      </c>
      <c r="L175" s="28">
        <v>42</v>
      </c>
      <c r="M175" s="29">
        <v>3200</v>
      </c>
      <c r="N175" s="29">
        <v>2500</v>
      </c>
      <c r="O175" s="29">
        <v>1900</v>
      </c>
      <c r="P175" s="29">
        <v>1600</v>
      </c>
      <c r="Q175" s="28">
        <v>250</v>
      </c>
      <c r="R175" s="4" t="s">
        <v>201</v>
      </c>
      <c r="X175" s="30" t="s">
        <v>268</v>
      </c>
      <c r="Y175" s="20">
        <v>150</v>
      </c>
      <c r="Z175" s="30"/>
      <c r="AA175" s="44"/>
      <c r="AB175" s="30"/>
    </row>
    <row r="176" spans="2:29" ht="15" customHeight="1" x14ac:dyDescent="0.15">
      <c r="B176" s="4" t="s">
        <v>274</v>
      </c>
      <c r="C176" s="19">
        <v>1.6666666666666666E-2</v>
      </c>
      <c r="D176" s="20">
        <v>130</v>
      </c>
      <c r="E176" s="27">
        <v>400</v>
      </c>
      <c r="F176" s="28">
        <v>140</v>
      </c>
      <c r="G176" s="29">
        <v>4177</v>
      </c>
      <c r="H176" s="29">
        <v>3343</v>
      </c>
      <c r="I176" s="29">
        <v>2506</v>
      </c>
      <c r="J176" s="28">
        <v>2091</v>
      </c>
      <c r="K176" s="27">
        <v>2675</v>
      </c>
      <c r="L176" s="28">
        <v>70</v>
      </c>
      <c r="M176" s="29">
        <v>4300</v>
      </c>
      <c r="N176" s="29">
        <v>3500</v>
      </c>
      <c r="O176" s="29">
        <v>2600</v>
      </c>
      <c r="P176" s="29">
        <v>2200</v>
      </c>
      <c r="Q176" s="28">
        <v>450</v>
      </c>
      <c r="R176" s="4" t="s">
        <v>202</v>
      </c>
      <c r="X176" s="30" t="s">
        <v>268</v>
      </c>
      <c r="Y176" s="20">
        <v>200</v>
      </c>
      <c r="Z176" s="30" t="s">
        <v>275</v>
      </c>
      <c r="AA176" s="44">
        <v>0.01</v>
      </c>
      <c r="AB176" s="30"/>
    </row>
    <row r="177" spans="2:29" ht="15" customHeight="1" x14ac:dyDescent="0.15">
      <c r="B177" s="4" t="s">
        <v>276</v>
      </c>
      <c r="C177" s="19">
        <v>3.3333333333333333E-2</v>
      </c>
      <c r="D177" s="20">
        <v>130</v>
      </c>
      <c r="E177" s="27">
        <v>500</v>
      </c>
      <c r="F177" s="28">
        <v>220</v>
      </c>
      <c r="G177" s="29">
        <v>8354</v>
      </c>
      <c r="H177" s="29">
        <v>6686</v>
      </c>
      <c r="I177" s="29">
        <v>5012</v>
      </c>
      <c r="J177" s="28">
        <v>4182</v>
      </c>
      <c r="K177" s="27">
        <v>10000</v>
      </c>
      <c r="L177" s="28">
        <v>115</v>
      </c>
      <c r="M177" s="29">
        <v>6900</v>
      </c>
      <c r="N177" s="29">
        <v>5500</v>
      </c>
      <c r="O177" s="29">
        <v>4100</v>
      </c>
      <c r="P177" s="29">
        <v>3400</v>
      </c>
      <c r="Q177" s="28">
        <v>350</v>
      </c>
      <c r="R177" s="32" t="s">
        <v>203</v>
      </c>
      <c r="X177" s="30" t="s">
        <v>268</v>
      </c>
      <c r="Y177" s="20">
        <v>250</v>
      </c>
      <c r="Z177" s="30"/>
      <c r="AA177" s="44"/>
      <c r="AB177" s="30"/>
    </row>
    <row r="178" spans="2:29" ht="15" customHeight="1" x14ac:dyDescent="0.15">
      <c r="B178" s="4" t="s">
        <v>277</v>
      </c>
      <c r="C178" s="19">
        <v>6.6666666666666666E-2</v>
      </c>
      <c r="D178" s="20">
        <v>300</v>
      </c>
      <c r="E178" s="27">
        <v>500</v>
      </c>
      <c r="F178" s="28">
        <v>340</v>
      </c>
      <c r="G178" s="29">
        <v>16708</v>
      </c>
      <c r="H178" s="29">
        <v>13372</v>
      </c>
      <c r="I178" s="29">
        <v>10024</v>
      </c>
      <c r="J178" s="28">
        <v>8364</v>
      </c>
      <c r="K178" s="27">
        <v>10000</v>
      </c>
      <c r="L178" s="28">
        <v>182</v>
      </c>
      <c r="M178" s="29">
        <v>11900</v>
      </c>
      <c r="N178" s="29">
        <v>9500</v>
      </c>
      <c r="O178" s="29">
        <v>7100</v>
      </c>
      <c r="P178" s="29">
        <v>5900</v>
      </c>
      <c r="Q178" s="28">
        <v>250</v>
      </c>
      <c r="R178" s="32" t="s">
        <v>204</v>
      </c>
      <c r="X178" s="30" t="s">
        <v>268</v>
      </c>
      <c r="Y178" s="20">
        <v>300</v>
      </c>
      <c r="Z178" s="30"/>
      <c r="AA178" s="44"/>
      <c r="AB178" s="30"/>
    </row>
    <row r="179" spans="2:29" ht="15" customHeight="1" x14ac:dyDescent="0.15">
      <c r="B179" s="4" t="s">
        <v>278</v>
      </c>
      <c r="C179" s="19">
        <v>0.13333333333333333</v>
      </c>
      <c r="D179" s="20">
        <v>300</v>
      </c>
      <c r="E179" s="27">
        <v>500</v>
      </c>
      <c r="F179" s="28">
        <v>500</v>
      </c>
      <c r="G179" s="29">
        <v>33416</v>
      </c>
      <c r="H179" s="29">
        <v>26744</v>
      </c>
      <c r="I179" s="29">
        <v>20048</v>
      </c>
      <c r="J179" s="28">
        <v>16728</v>
      </c>
      <c r="K179" s="27">
        <v>10000</v>
      </c>
      <c r="L179" s="28">
        <v>275</v>
      </c>
      <c r="M179" s="29">
        <v>20800</v>
      </c>
      <c r="N179" s="29">
        <v>16700</v>
      </c>
      <c r="O179" s="29">
        <v>12500</v>
      </c>
      <c r="P179" s="29">
        <v>10400</v>
      </c>
      <c r="Q179" s="28">
        <v>350</v>
      </c>
      <c r="R179" s="32" t="s">
        <v>205</v>
      </c>
      <c r="X179" s="30" t="s">
        <v>268</v>
      </c>
      <c r="Y179" s="20">
        <v>400</v>
      </c>
      <c r="Z179" s="30"/>
      <c r="AA179" s="44"/>
      <c r="AB179" s="30"/>
    </row>
    <row r="180" spans="2:29" ht="15" customHeight="1" x14ac:dyDescent="0.15">
      <c r="B180" s="4" t="s">
        <v>279</v>
      </c>
      <c r="C180" s="19">
        <v>0.26666666666666666</v>
      </c>
      <c r="D180" s="20">
        <v>650</v>
      </c>
      <c r="E180" s="27">
        <v>500</v>
      </c>
      <c r="F180" s="28">
        <v>760</v>
      </c>
      <c r="G180" s="29">
        <v>66832</v>
      </c>
      <c r="H180" s="29">
        <v>53488</v>
      </c>
      <c r="I180" s="29">
        <v>40096</v>
      </c>
      <c r="J180" s="28">
        <v>33456</v>
      </c>
      <c r="K180" s="27">
        <v>30000</v>
      </c>
      <c r="L180" s="28">
        <v>425</v>
      </c>
      <c r="M180" s="29">
        <v>37100</v>
      </c>
      <c r="N180" s="29">
        <v>29700</v>
      </c>
      <c r="O180" s="29">
        <v>22200</v>
      </c>
      <c r="P180" s="29">
        <v>18500</v>
      </c>
      <c r="Q180" s="28">
        <v>450</v>
      </c>
      <c r="R180" s="32" t="s">
        <v>206</v>
      </c>
      <c r="X180" s="30" t="s">
        <v>268</v>
      </c>
      <c r="Y180" s="20">
        <v>500</v>
      </c>
      <c r="Z180" s="30"/>
      <c r="AA180" s="44"/>
      <c r="AB180" s="30"/>
    </row>
    <row r="181" spans="2:29" ht="15" customHeight="1" x14ac:dyDescent="0.15">
      <c r="B181" s="4" t="s">
        <v>280</v>
      </c>
      <c r="C181" s="19">
        <v>0.53333333333333333</v>
      </c>
      <c r="D181" s="20">
        <v>1000</v>
      </c>
      <c r="E181" s="27">
        <v>500</v>
      </c>
      <c r="F181" s="28">
        <v>1140</v>
      </c>
      <c r="G181" s="29">
        <v>100248</v>
      </c>
      <c r="H181" s="29">
        <v>80232</v>
      </c>
      <c r="I181" s="29">
        <v>60144</v>
      </c>
      <c r="J181" s="28">
        <v>50184</v>
      </c>
      <c r="K181" s="27">
        <v>30000</v>
      </c>
      <c r="L181" s="28">
        <v>650</v>
      </c>
      <c r="M181" s="29">
        <v>20049</v>
      </c>
      <c r="N181" s="29">
        <v>16046</v>
      </c>
      <c r="O181" s="29">
        <v>12028</v>
      </c>
      <c r="P181" s="29">
        <v>10036</v>
      </c>
      <c r="Q181" s="28">
        <v>335</v>
      </c>
      <c r="R181" s="32" t="s">
        <v>207</v>
      </c>
      <c r="X181" s="30" t="s">
        <v>268</v>
      </c>
      <c r="Y181" s="20">
        <v>600</v>
      </c>
      <c r="Z181" s="30" t="s">
        <v>275</v>
      </c>
      <c r="AA181" s="44">
        <v>0.02</v>
      </c>
      <c r="AB181" s="30"/>
    </row>
    <row r="182" spans="2:29" ht="15" customHeight="1" x14ac:dyDescent="0.15">
      <c r="B182" s="4" t="s">
        <v>281</v>
      </c>
      <c r="C182" s="19">
        <v>0.64</v>
      </c>
      <c r="D182" s="20">
        <v>1000</v>
      </c>
      <c r="E182" s="27">
        <v>500</v>
      </c>
      <c r="F182" s="28">
        <v>1720</v>
      </c>
      <c r="G182" s="29">
        <v>150372</v>
      </c>
      <c r="H182" s="29">
        <v>120348</v>
      </c>
      <c r="I182" s="29">
        <v>90216</v>
      </c>
      <c r="J182" s="28">
        <v>75276</v>
      </c>
      <c r="K182" s="27">
        <v>60000</v>
      </c>
      <c r="L182" s="28">
        <v>1000</v>
      </c>
      <c r="M182" s="29">
        <v>27340</v>
      </c>
      <c r="N182" s="29">
        <v>21881</v>
      </c>
      <c r="O182" s="29">
        <v>16402</v>
      </c>
      <c r="P182" s="29">
        <v>13686</v>
      </c>
      <c r="Q182" s="28">
        <v>225</v>
      </c>
      <c r="R182" s="32" t="s">
        <v>208</v>
      </c>
      <c r="X182" s="30" t="s">
        <v>268</v>
      </c>
      <c r="Y182" s="20">
        <v>700</v>
      </c>
      <c r="Z182" s="30"/>
      <c r="AA182" s="44"/>
      <c r="AB182" s="30"/>
    </row>
    <row r="183" spans="2:29" ht="15" customHeight="1" x14ac:dyDescent="0.15">
      <c r="B183" s="4" t="s">
        <v>282</v>
      </c>
      <c r="E183" s="27"/>
      <c r="F183" s="28"/>
      <c r="G183" s="29"/>
      <c r="H183" s="29"/>
      <c r="I183" s="29"/>
      <c r="J183" s="28"/>
      <c r="K183" s="27"/>
      <c r="L183" s="28"/>
      <c r="M183" s="29"/>
      <c r="N183" s="29"/>
      <c r="O183" s="29"/>
      <c r="P183" s="29"/>
      <c r="Q183" s="28"/>
      <c r="R183" s="32" t="s">
        <v>209</v>
      </c>
      <c r="X183" s="30" t="s">
        <v>268</v>
      </c>
      <c r="Y183" s="20">
        <v>800</v>
      </c>
      <c r="Z183" s="30"/>
      <c r="AA183" s="44"/>
      <c r="AB183" s="30"/>
    </row>
    <row r="184" spans="2:29" ht="15" customHeight="1" x14ac:dyDescent="0.15">
      <c r="B184" s="4" t="s">
        <v>283</v>
      </c>
      <c r="E184" s="27"/>
      <c r="F184" s="28"/>
      <c r="G184" s="29"/>
      <c r="H184" s="29"/>
      <c r="I184" s="29"/>
      <c r="J184" s="28"/>
      <c r="K184" s="27"/>
      <c r="L184" s="28"/>
      <c r="M184" s="29"/>
      <c r="N184" s="29"/>
      <c r="O184" s="29"/>
      <c r="P184" s="29"/>
      <c r="Q184" s="28"/>
      <c r="R184" s="32" t="s">
        <v>210</v>
      </c>
      <c r="X184" s="30" t="s">
        <v>268</v>
      </c>
      <c r="Y184" s="20">
        <v>900</v>
      </c>
      <c r="Z184" s="30"/>
      <c r="AA184" s="44"/>
      <c r="AB184" s="30"/>
    </row>
    <row r="185" spans="2:29" ht="15" customHeight="1" x14ac:dyDescent="0.15">
      <c r="B185" s="4" t="s">
        <v>284</v>
      </c>
      <c r="E185" s="27"/>
      <c r="F185" s="28"/>
      <c r="G185" s="29"/>
      <c r="H185" s="29"/>
      <c r="I185" s="29"/>
      <c r="J185" s="28"/>
      <c r="K185" s="27"/>
      <c r="L185" s="28"/>
      <c r="M185" s="29"/>
      <c r="N185" s="29"/>
      <c r="O185" s="29"/>
      <c r="P185" s="29"/>
      <c r="Q185" s="28"/>
      <c r="R185" s="32" t="s">
        <v>211</v>
      </c>
      <c r="X185" s="30" t="s">
        <v>268</v>
      </c>
      <c r="Y185" s="20">
        <v>1050</v>
      </c>
      <c r="Z185" s="30"/>
      <c r="AA185" s="44"/>
      <c r="AB185" s="30"/>
    </row>
    <row r="186" spans="2:29" ht="15" customHeight="1" x14ac:dyDescent="0.15">
      <c r="B186" s="4" t="s">
        <v>285</v>
      </c>
      <c r="E186" s="27"/>
      <c r="F186" s="28"/>
      <c r="G186" s="29"/>
      <c r="H186" s="29"/>
      <c r="I186" s="29"/>
      <c r="J186" s="28"/>
      <c r="K186" s="27"/>
      <c r="L186" s="28"/>
      <c r="M186" s="29"/>
      <c r="N186" s="29"/>
      <c r="O186" s="29"/>
      <c r="P186" s="29"/>
      <c r="Q186" s="28"/>
      <c r="R186" s="32" t="s">
        <v>212</v>
      </c>
      <c r="X186" s="30" t="s">
        <v>268</v>
      </c>
      <c r="Y186" s="20">
        <v>1250</v>
      </c>
      <c r="Z186" s="30" t="s">
        <v>275</v>
      </c>
      <c r="AA186" s="44">
        <v>0.03</v>
      </c>
      <c r="AB186" s="30"/>
    </row>
    <row r="187" spans="2:29" ht="15" customHeight="1" x14ac:dyDescent="0.15">
      <c r="B187" s="4" t="s">
        <v>286</v>
      </c>
      <c r="E187" s="27"/>
      <c r="F187" s="28"/>
      <c r="G187" s="29"/>
      <c r="H187" s="29"/>
      <c r="I187" s="29"/>
      <c r="J187" s="28"/>
      <c r="K187" s="27"/>
      <c r="L187" s="28"/>
      <c r="M187" s="29"/>
      <c r="N187" s="29"/>
      <c r="O187" s="29"/>
      <c r="P187" s="29"/>
      <c r="Q187" s="28"/>
      <c r="R187" s="32" t="s">
        <v>213</v>
      </c>
      <c r="X187" s="30" t="s">
        <v>268</v>
      </c>
      <c r="Y187" s="20">
        <v>1500</v>
      </c>
      <c r="Z187" s="30"/>
      <c r="AA187" s="44"/>
      <c r="AB187" s="30"/>
    </row>
    <row r="188" spans="2:29" ht="15" customHeight="1" x14ac:dyDescent="0.15">
      <c r="B188" s="4" t="s">
        <v>287</v>
      </c>
      <c r="E188" s="27"/>
      <c r="F188" s="28"/>
      <c r="G188" s="29"/>
      <c r="H188" s="29"/>
      <c r="I188" s="29"/>
      <c r="J188" s="28"/>
      <c r="K188" s="27"/>
      <c r="L188" s="28"/>
      <c r="M188" s="29"/>
      <c r="N188" s="29"/>
      <c r="O188" s="29"/>
      <c r="P188" s="29"/>
      <c r="Q188" s="28"/>
      <c r="R188" s="32" t="s">
        <v>214</v>
      </c>
      <c r="X188" s="30" t="s">
        <v>268</v>
      </c>
      <c r="Y188" s="20">
        <v>1750</v>
      </c>
      <c r="Z188" s="30"/>
      <c r="AA188" s="44"/>
      <c r="AB188" s="30"/>
    </row>
    <row r="189" spans="2:29" ht="15" customHeight="1" x14ac:dyDescent="0.15">
      <c r="B189" s="4" t="s">
        <v>288</v>
      </c>
      <c r="E189" s="27"/>
      <c r="F189" s="28"/>
      <c r="G189" s="29"/>
      <c r="H189" s="29"/>
      <c r="I189" s="29"/>
      <c r="J189" s="28"/>
      <c r="K189" s="27"/>
      <c r="L189" s="28"/>
      <c r="M189" s="29"/>
      <c r="N189" s="29"/>
      <c r="O189" s="29"/>
      <c r="P189" s="29"/>
      <c r="Q189" s="28"/>
      <c r="R189" s="32" t="s">
        <v>215</v>
      </c>
      <c r="X189" s="30" t="s">
        <v>268</v>
      </c>
      <c r="Y189" s="20">
        <v>2000</v>
      </c>
      <c r="Z189" s="30"/>
      <c r="AA189" s="44"/>
      <c r="AB189" s="30"/>
    </row>
    <row r="190" spans="2:29" ht="15" customHeight="1" x14ac:dyDescent="0.15">
      <c r="B190" s="4" t="s">
        <v>289</v>
      </c>
      <c r="E190" s="27"/>
      <c r="F190" s="28"/>
      <c r="G190" s="29"/>
      <c r="H190" s="29"/>
      <c r="I190" s="29"/>
      <c r="J190" s="28"/>
      <c r="K190" s="27"/>
      <c r="L190" s="28"/>
      <c r="M190" s="29"/>
      <c r="N190" s="29"/>
      <c r="O190" s="29"/>
      <c r="P190" s="29"/>
      <c r="Q190" s="28"/>
      <c r="R190" s="32" t="s">
        <v>216</v>
      </c>
      <c r="X190" s="30" t="s">
        <v>268</v>
      </c>
      <c r="Y190" s="20">
        <v>2250</v>
      </c>
      <c r="Z190" s="30"/>
      <c r="AA190" s="44"/>
      <c r="AB190" s="30"/>
    </row>
    <row r="191" spans="2:29" ht="15" customHeight="1" x14ac:dyDescent="0.15">
      <c r="B191" s="33" t="s">
        <v>290</v>
      </c>
      <c r="C191" s="34"/>
      <c r="E191" s="27"/>
      <c r="F191" s="28"/>
      <c r="G191" s="27"/>
      <c r="H191" s="27"/>
      <c r="I191" s="27"/>
      <c r="J191" s="28"/>
      <c r="K191" s="27"/>
      <c r="L191" s="28"/>
      <c r="M191" s="27"/>
      <c r="N191" s="27"/>
      <c r="O191" s="27"/>
      <c r="P191" s="27"/>
      <c r="Q191" s="28"/>
      <c r="R191" s="32" t="s">
        <v>217</v>
      </c>
      <c r="S191" s="33"/>
      <c r="T191" s="33"/>
      <c r="V191" s="6"/>
      <c r="X191" s="30" t="s">
        <v>268</v>
      </c>
      <c r="Y191" s="20">
        <v>2500</v>
      </c>
      <c r="Z191" s="30" t="s">
        <v>275</v>
      </c>
      <c r="AA191" s="44">
        <v>0.04</v>
      </c>
      <c r="AB191" s="30"/>
    </row>
    <row r="192" spans="2:29" ht="15" customHeight="1" x14ac:dyDescent="0.15">
      <c r="B192" s="15" t="s">
        <v>291</v>
      </c>
      <c r="C192" s="35"/>
      <c r="D192" s="36"/>
      <c r="E192" s="37"/>
      <c r="F192" s="38"/>
      <c r="G192" s="37"/>
      <c r="H192" s="37"/>
      <c r="I192" s="37"/>
      <c r="J192" s="38"/>
      <c r="K192" s="37"/>
      <c r="L192" s="38"/>
      <c r="M192" s="37"/>
      <c r="N192" s="37"/>
      <c r="O192" s="37"/>
      <c r="P192" s="37"/>
      <c r="Q192" s="38"/>
      <c r="R192" s="39" t="s">
        <v>218</v>
      </c>
      <c r="S192" s="15"/>
      <c r="T192" s="15"/>
      <c r="U192" s="16"/>
      <c r="V192" s="40"/>
      <c r="W192" s="36"/>
      <c r="X192" s="41" t="s">
        <v>268</v>
      </c>
      <c r="Y192" s="36">
        <v>5000</v>
      </c>
      <c r="Z192" s="41" t="s">
        <v>275</v>
      </c>
      <c r="AA192" s="46">
        <v>0.1</v>
      </c>
      <c r="AB192" s="41"/>
      <c r="AC192" s="46"/>
    </row>
    <row r="193" spans="2:28" ht="15" customHeight="1" x14ac:dyDescent="0.15">
      <c r="B193" s="33" t="s">
        <v>292</v>
      </c>
      <c r="C193" s="34">
        <v>1.0416666666666667E-3</v>
      </c>
      <c r="D193" s="20">
        <v>1</v>
      </c>
      <c r="E193" s="27">
        <v>10</v>
      </c>
      <c r="F193" s="28">
        <v>10</v>
      </c>
      <c r="G193" s="27">
        <v>500</v>
      </c>
      <c r="H193" s="27">
        <v>400</v>
      </c>
      <c r="I193" s="27">
        <v>300</v>
      </c>
      <c r="J193" s="28">
        <v>250</v>
      </c>
      <c r="K193" s="27">
        <v>2525</v>
      </c>
      <c r="L193" s="28">
        <v>2</v>
      </c>
      <c r="M193" s="27">
        <v>5400</v>
      </c>
      <c r="N193" s="27">
        <v>4300</v>
      </c>
      <c r="O193" s="27">
        <v>3300</v>
      </c>
      <c r="P193" s="27">
        <v>2700</v>
      </c>
      <c r="Q193" s="28">
        <v>50</v>
      </c>
      <c r="R193" s="33" t="s">
        <v>43</v>
      </c>
      <c r="S193" s="33"/>
      <c r="T193" s="33"/>
      <c r="V193" s="6"/>
      <c r="X193" s="25" t="s">
        <v>293</v>
      </c>
      <c r="Y193" s="20">
        <v>200</v>
      </c>
      <c r="Z193" s="31"/>
      <c r="AB193" s="31"/>
    </row>
    <row r="194" spans="2:28" ht="15" customHeight="1" x14ac:dyDescent="0.15">
      <c r="B194" s="33" t="s">
        <v>294</v>
      </c>
      <c r="C194" s="34">
        <v>2.0833333333333333E-3</v>
      </c>
      <c r="D194" s="20">
        <v>1</v>
      </c>
      <c r="E194" s="27">
        <v>25</v>
      </c>
      <c r="F194" s="28">
        <v>20</v>
      </c>
      <c r="G194" s="27">
        <v>850</v>
      </c>
      <c r="H194" s="27">
        <v>680</v>
      </c>
      <c r="I194" s="27">
        <v>510</v>
      </c>
      <c r="J194" s="28">
        <v>425</v>
      </c>
      <c r="K194" s="27">
        <v>2575</v>
      </c>
      <c r="L194" s="28">
        <v>10</v>
      </c>
      <c r="M194" s="27">
        <v>2400</v>
      </c>
      <c r="N194" s="27">
        <v>1900</v>
      </c>
      <c r="O194" s="27">
        <v>1500</v>
      </c>
      <c r="P194" s="27">
        <v>1200</v>
      </c>
      <c r="Q194" s="28">
        <v>150</v>
      </c>
      <c r="R194" s="32" t="s">
        <v>295</v>
      </c>
      <c r="S194" s="33"/>
      <c r="T194" s="33"/>
      <c r="V194" s="6"/>
      <c r="X194" s="30" t="s">
        <v>293</v>
      </c>
      <c r="Y194" s="20">
        <v>500</v>
      </c>
      <c r="Z194" s="31"/>
      <c r="AB194" s="31"/>
    </row>
    <row r="195" spans="2:28" ht="15" customHeight="1" x14ac:dyDescent="0.15">
      <c r="B195" s="33" t="s">
        <v>296</v>
      </c>
      <c r="C195" s="34">
        <v>4.1666666666666666E-3</v>
      </c>
      <c r="D195" s="20">
        <v>1</v>
      </c>
      <c r="E195" s="27">
        <v>50</v>
      </c>
      <c r="F195" s="28">
        <v>30</v>
      </c>
      <c r="G195" s="27">
        <v>1445</v>
      </c>
      <c r="H195" s="27">
        <v>1156</v>
      </c>
      <c r="I195" s="27">
        <v>867</v>
      </c>
      <c r="J195" s="28">
        <v>723</v>
      </c>
      <c r="K195" s="27">
        <v>2600</v>
      </c>
      <c r="L195" s="28">
        <v>22</v>
      </c>
      <c r="M195" s="27">
        <v>2700</v>
      </c>
      <c r="N195" s="27">
        <v>2100</v>
      </c>
      <c r="O195" s="27">
        <v>1600</v>
      </c>
      <c r="P195" s="27">
        <v>1300</v>
      </c>
      <c r="Q195" s="28">
        <v>150</v>
      </c>
      <c r="R195" s="32" t="s">
        <v>271</v>
      </c>
      <c r="S195" s="33"/>
      <c r="T195" s="33"/>
      <c r="V195" s="6"/>
      <c r="X195" s="30" t="s">
        <v>293</v>
      </c>
      <c r="Y195" s="20">
        <v>1000</v>
      </c>
      <c r="Z195" s="31"/>
      <c r="AB195" s="31"/>
    </row>
    <row r="196" spans="2:28" ht="15" customHeight="1" x14ac:dyDescent="0.15">
      <c r="B196" s="33" t="s">
        <v>297</v>
      </c>
      <c r="C196" s="34">
        <v>8.3333333333333332E-3</v>
      </c>
      <c r="D196" s="20">
        <v>70</v>
      </c>
      <c r="E196" s="27">
        <v>200</v>
      </c>
      <c r="F196" s="28">
        <v>50</v>
      </c>
      <c r="G196" s="27">
        <v>2457</v>
      </c>
      <c r="H196" s="27">
        <v>1966</v>
      </c>
      <c r="I196" s="27">
        <v>1474</v>
      </c>
      <c r="J196" s="28">
        <v>1230</v>
      </c>
      <c r="K196" s="27">
        <v>2650</v>
      </c>
      <c r="L196" s="28">
        <v>42</v>
      </c>
      <c r="M196" s="27">
        <v>3400</v>
      </c>
      <c r="N196" s="27">
        <v>2700</v>
      </c>
      <c r="O196" s="27">
        <v>2100</v>
      </c>
      <c r="P196" s="27">
        <v>1800</v>
      </c>
      <c r="Q196" s="28">
        <v>150</v>
      </c>
      <c r="R196" s="32" t="s">
        <v>273</v>
      </c>
      <c r="S196" s="33"/>
      <c r="T196" s="33"/>
      <c r="V196" s="6"/>
      <c r="X196" s="30" t="s">
        <v>293</v>
      </c>
      <c r="Y196" s="20">
        <v>1500</v>
      </c>
      <c r="Z196" s="31"/>
      <c r="AB196" s="31"/>
    </row>
    <row r="197" spans="2:28" ht="15" customHeight="1" x14ac:dyDescent="0.15">
      <c r="B197" s="33" t="s">
        <v>298</v>
      </c>
      <c r="C197" s="34">
        <v>1.6666666666666666E-2</v>
      </c>
      <c r="D197" s="20">
        <v>130</v>
      </c>
      <c r="E197" s="27">
        <v>400</v>
      </c>
      <c r="F197" s="28">
        <v>70</v>
      </c>
      <c r="G197" s="27">
        <v>4177</v>
      </c>
      <c r="H197" s="27">
        <v>3343</v>
      </c>
      <c r="I197" s="27">
        <v>2506</v>
      </c>
      <c r="J197" s="28">
        <v>2091</v>
      </c>
      <c r="K197" s="27">
        <v>2675</v>
      </c>
      <c r="L197" s="28">
        <v>70</v>
      </c>
      <c r="M197" s="27">
        <v>4600</v>
      </c>
      <c r="N197" s="27">
        <v>3700</v>
      </c>
      <c r="O197" s="27">
        <v>2800</v>
      </c>
      <c r="P197" s="27">
        <v>2400</v>
      </c>
      <c r="Q197" s="28">
        <v>250</v>
      </c>
      <c r="R197" s="32" t="s">
        <v>274</v>
      </c>
      <c r="S197" s="33"/>
      <c r="T197" s="33"/>
      <c r="V197" s="6"/>
      <c r="X197" s="30" t="s">
        <v>293</v>
      </c>
      <c r="Y197" s="20">
        <v>2500</v>
      </c>
      <c r="Z197" s="31"/>
      <c r="AB197" s="31"/>
    </row>
    <row r="198" spans="2:28" ht="15" customHeight="1" x14ac:dyDescent="0.15">
      <c r="B198" s="33" t="s">
        <v>299</v>
      </c>
      <c r="C198" s="34">
        <v>3.1666666666666669E-2</v>
      </c>
      <c r="D198" s="20">
        <v>130</v>
      </c>
      <c r="E198" s="27">
        <v>500</v>
      </c>
      <c r="F198" s="28">
        <v>110</v>
      </c>
      <c r="G198" s="27">
        <v>8354</v>
      </c>
      <c r="H198" s="27">
        <v>6686</v>
      </c>
      <c r="I198" s="27">
        <v>5012</v>
      </c>
      <c r="J198" s="28">
        <v>4182</v>
      </c>
      <c r="K198" s="27">
        <v>10000</v>
      </c>
      <c r="L198" s="28">
        <v>115</v>
      </c>
      <c r="M198" s="27">
        <v>5800</v>
      </c>
      <c r="N198" s="27">
        <v>4600</v>
      </c>
      <c r="O198" s="27">
        <v>3500</v>
      </c>
      <c r="P198" s="27">
        <v>2900</v>
      </c>
      <c r="Q198" s="28">
        <v>300</v>
      </c>
      <c r="R198" s="32" t="s">
        <v>276</v>
      </c>
      <c r="S198" s="33"/>
      <c r="T198" s="33"/>
      <c r="V198" s="6"/>
      <c r="X198" s="30" t="s">
        <v>293</v>
      </c>
      <c r="Y198" s="20">
        <v>4000</v>
      </c>
      <c r="Z198" s="31"/>
      <c r="AB198" s="31"/>
    </row>
    <row r="199" spans="2:28" ht="15" customHeight="1" x14ac:dyDescent="0.15">
      <c r="B199" s="33" t="s">
        <v>300</v>
      </c>
      <c r="C199" s="34">
        <v>5.7002314814814818E-2</v>
      </c>
      <c r="D199" s="20">
        <v>130</v>
      </c>
      <c r="E199" s="27">
        <v>500</v>
      </c>
      <c r="F199" s="28">
        <v>170</v>
      </c>
      <c r="G199" s="27">
        <v>16708</v>
      </c>
      <c r="H199" s="27">
        <v>13372</v>
      </c>
      <c r="I199" s="27">
        <v>10024</v>
      </c>
      <c r="J199" s="28">
        <v>8364</v>
      </c>
      <c r="K199" s="27">
        <v>10000</v>
      </c>
      <c r="L199" s="28">
        <v>182</v>
      </c>
      <c r="M199" s="27">
        <v>7100</v>
      </c>
      <c r="N199" s="27">
        <v>5700</v>
      </c>
      <c r="O199" s="27">
        <v>4200</v>
      </c>
      <c r="P199" s="27">
        <v>3500</v>
      </c>
      <c r="Q199" s="28">
        <v>350</v>
      </c>
      <c r="R199" s="32" t="s">
        <v>277</v>
      </c>
      <c r="S199" s="33"/>
      <c r="T199" s="33"/>
      <c r="V199" s="6"/>
      <c r="X199" s="30" t="s">
        <v>293</v>
      </c>
      <c r="Y199" s="20">
        <v>5000</v>
      </c>
      <c r="Z199" s="31"/>
      <c r="AB199" s="31"/>
    </row>
    <row r="200" spans="2:28" ht="15" customHeight="1" x14ac:dyDescent="0.15">
      <c r="B200" s="33" t="s">
        <v>301</v>
      </c>
      <c r="C200" s="34"/>
      <c r="E200" s="27"/>
      <c r="F200" s="28"/>
      <c r="G200" s="27"/>
      <c r="H200" s="27"/>
      <c r="I200" s="27"/>
      <c r="J200" s="28"/>
      <c r="K200" s="27"/>
      <c r="L200" s="28"/>
      <c r="M200" s="27"/>
      <c r="N200" s="27"/>
      <c r="O200" s="27"/>
      <c r="P200" s="27"/>
      <c r="Q200" s="28"/>
      <c r="R200" s="32" t="s">
        <v>278</v>
      </c>
      <c r="S200" s="33"/>
      <c r="T200" s="33"/>
      <c r="V200" s="6"/>
      <c r="X200" s="30" t="s">
        <v>293</v>
      </c>
      <c r="Y200" s="20">
        <v>6000</v>
      </c>
      <c r="Z200" s="31"/>
      <c r="AB200" s="31"/>
    </row>
    <row r="201" spans="2:28" ht="15" customHeight="1" x14ac:dyDescent="0.15">
      <c r="B201" s="33" t="s">
        <v>302</v>
      </c>
      <c r="C201" s="34"/>
      <c r="E201" s="27"/>
      <c r="F201" s="28"/>
      <c r="G201" s="27"/>
      <c r="H201" s="27"/>
      <c r="I201" s="27"/>
      <c r="J201" s="28"/>
      <c r="K201" s="27"/>
      <c r="L201" s="28"/>
      <c r="M201" s="27"/>
      <c r="N201" s="27"/>
      <c r="O201" s="27"/>
      <c r="P201" s="27"/>
      <c r="Q201" s="28"/>
      <c r="R201" s="32" t="s">
        <v>279</v>
      </c>
      <c r="S201" s="33"/>
      <c r="T201" s="33"/>
      <c r="V201" s="6"/>
      <c r="X201" s="30" t="s">
        <v>293</v>
      </c>
      <c r="Y201" s="20">
        <v>7000</v>
      </c>
      <c r="Z201" s="31"/>
      <c r="AB201" s="31"/>
    </row>
    <row r="202" spans="2:28" ht="15" customHeight="1" x14ac:dyDescent="0.15">
      <c r="B202" s="33" t="s">
        <v>303</v>
      </c>
      <c r="C202" s="34"/>
      <c r="E202" s="27"/>
      <c r="F202" s="28"/>
      <c r="G202" s="27"/>
      <c r="H202" s="27"/>
      <c r="I202" s="27"/>
      <c r="J202" s="28"/>
      <c r="K202" s="27"/>
      <c r="L202" s="28"/>
      <c r="M202" s="27"/>
      <c r="N202" s="27"/>
      <c r="O202" s="27"/>
      <c r="P202" s="27"/>
      <c r="Q202" s="28"/>
      <c r="R202" s="32" t="s">
        <v>280</v>
      </c>
      <c r="S202" s="33"/>
      <c r="T202" s="33"/>
      <c r="V202" s="6"/>
      <c r="X202" s="30" t="s">
        <v>293</v>
      </c>
      <c r="Y202" s="20">
        <v>8500</v>
      </c>
      <c r="Z202" s="31"/>
      <c r="AB202" s="31"/>
    </row>
    <row r="203" spans="2:28" ht="15" customHeight="1" x14ac:dyDescent="0.15">
      <c r="B203" s="33" t="s">
        <v>304</v>
      </c>
      <c r="C203" s="34"/>
      <c r="E203" s="27"/>
      <c r="F203" s="28"/>
      <c r="G203" s="27"/>
      <c r="H203" s="27"/>
      <c r="I203" s="27"/>
      <c r="J203" s="28"/>
      <c r="K203" s="27"/>
      <c r="L203" s="28"/>
      <c r="M203" s="27"/>
      <c r="N203" s="27"/>
      <c r="O203" s="27"/>
      <c r="P203" s="27"/>
      <c r="Q203" s="28"/>
      <c r="R203" s="32" t="s">
        <v>281</v>
      </c>
      <c r="S203" s="33"/>
      <c r="T203" s="33"/>
      <c r="V203" s="6"/>
      <c r="X203" s="30" t="s">
        <v>293</v>
      </c>
      <c r="Y203" s="20">
        <v>10000</v>
      </c>
      <c r="Z203" s="31"/>
      <c r="AB203" s="31"/>
    </row>
    <row r="204" spans="2:28" ht="15" customHeight="1" x14ac:dyDescent="0.15">
      <c r="B204" s="33" t="s">
        <v>305</v>
      </c>
      <c r="C204" s="34"/>
      <c r="E204" s="27"/>
      <c r="F204" s="28"/>
      <c r="G204" s="27"/>
      <c r="H204" s="27"/>
      <c r="I204" s="27"/>
      <c r="J204" s="28"/>
      <c r="K204" s="27"/>
      <c r="L204" s="28"/>
      <c r="M204" s="27"/>
      <c r="N204" s="27"/>
      <c r="O204" s="27"/>
      <c r="P204" s="27"/>
      <c r="Q204" s="28"/>
      <c r="R204" s="32" t="s">
        <v>282</v>
      </c>
      <c r="S204" s="33"/>
      <c r="T204" s="33"/>
      <c r="V204" s="6"/>
      <c r="X204" s="30" t="s">
        <v>293</v>
      </c>
      <c r="Y204" s="20">
        <v>12000</v>
      </c>
      <c r="Z204" s="31"/>
      <c r="AB204" s="31"/>
    </row>
    <row r="205" spans="2:28" ht="15" customHeight="1" x14ac:dyDescent="0.15">
      <c r="B205" s="33" t="s">
        <v>306</v>
      </c>
      <c r="C205" s="34"/>
      <c r="E205" s="27"/>
      <c r="F205" s="28"/>
      <c r="G205" s="27"/>
      <c r="H205" s="27"/>
      <c r="I205" s="27"/>
      <c r="J205" s="28"/>
      <c r="K205" s="27"/>
      <c r="L205" s="28"/>
      <c r="M205" s="27"/>
      <c r="N205" s="27"/>
      <c r="O205" s="27"/>
      <c r="P205" s="27"/>
      <c r="Q205" s="28"/>
      <c r="R205" s="32" t="s">
        <v>283</v>
      </c>
      <c r="S205" s="33"/>
      <c r="T205" s="33"/>
      <c r="V205" s="6"/>
      <c r="X205" s="30" t="s">
        <v>293</v>
      </c>
      <c r="Y205" s="20">
        <v>14000</v>
      </c>
      <c r="Z205" s="31"/>
      <c r="AB205" s="31"/>
    </row>
    <row r="206" spans="2:28" ht="15" customHeight="1" x14ac:dyDescent="0.15">
      <c r="B206" s="33" t="s">
        <v>307</v>
      </c>
      <c r="C206" s="34"/>
      <c r="E206" s="27"/>
      <c r="F206" s="28"/>
      <c r="G206" s="27"/>
      <c r="H206" s="27"/>
      <c r="I206" s="27"/>
      <c r="J206" s="28"/>
      <c r="K206" s="27"/>
      <c r="L206" s="28"/>
      <c r="M206" s="27"/>
      <c r="N206" s="27"/>
      <c r="O206" s="27"/>
      <c r="P206" s="27"/>
      <c r="Q206" s="28"/>
      <c r="R206" s="32" t="s">
        <v>284</v>
      </c>
      <c r="S206" s="33"/>
      <c r="T206" s="33"/>
      <c r="V206" s="6"/>
      <c r="X206" s="30" t="s">
        <v>293</v>
      </c>
      <c r="Y206" s="20">
        <v>16000</v>
      </c>
      <c r="Z206" s="31"/>
      <c r="AB206" s="31"/>
    </row>
    <row r="207" spans="2:28" ht="15" customHeight="1" x14ac:dyDescent="0.15">
      <c r="B207" s="33" t="s">
        <v>308</v>
      </c>
      <c r="C207" s="34"/>
      <c r="E207" s="27"/>
      <c r="F207" s="28"/>
      <c r="G207" s="27"/>
      <c r="H207" s="27"/>
      <c r="I207" s="27"/>
      <c r="J207" s="28"/>
      <c r="K207" s="27"/>
      <c r="L207" s="28"/>
      <c r="M207" s="27"/>
      <c r="N207" s="27"/>
      <c r="O207" s="27"/>
      <c r="P207" s="27"/>
      <c r="Q207" s="28"/>
      <c r="R207" s="32" t="s">
        <v>285</v>
      </c>
      <c r="S207" s="33"/>
      <c r="T207" s="33"/>
      <c r="V207" s="6"/>
      <c r="X207" s="30" t="s">
        <v>293</v>
      </c>
      <c r="Y207" s="20">
        <v>18000</v>
      </c>
      <c r="Z207" s="31"/>
      <c r="AB207" s="31"/>
    </row>
    <row r="208" spans="2:28" ht="15" customHeight="1" x14ac:dyDescent="0.15">
      <c r="B208" s="33" t="s">
        <v>309</v>
      </c>
      <c r="C208" s="34"/>
      <c r="E208" s="27"/>
      <c r="F208" s="28"/>
      <c r="G208" s="27"/>
      <c r="H208" s="27"/>
      <c r="I208" s="27"/>
      <c r="J208" s="28"/>
      <c r="K208" s="27"/>
      <c r="L208" s="28"/>
      <c r="M208" s="27"/>
      <c r="N208" s="27"/>
      <c r="O208" s="27"/>
      <c r="P208" s="27"/>
      <c r="Q208" s="28"/>
      <c r="R208" s="32" t="s">
        <v>286</v>
      </c>
      <c r="S208" s="33"/>
      <c r="T208" s="33"/>
      <c r="V208" s="6"/>
      <c r="X208" s="30" t="s">
        <v>293</v>
      </c>
      <c r="Y208" s="20">
        <v>20000</v>
      </c>
      <c r="Z208" s="31"/>
      <c r="AB208" s="31"/>
    </row>
    <row r="209" spans="2:29" ht="15" customHeight="1" x14ac:dyDescent="0.15">
      <c r="B209" s="33" t="s">
        <v>310</v>
      </c>
      <c r="C209" s="34"/>
      <c r="E209" s="27"/>
      <c r="F209" s="28"/>
      <c r="G209" s="27"/>
      <c r="H209" s="27"/>
      <c r="I209" s="27"/>
      <c r="J209" s="28"/>
      <c r="K209" s="27"/>
      <c r="L209" s="28"/>
      <c r="M209" s="27"/>
      <c r="N209" s="27"/>
      <c r="O209" s="27"/>
      <c r="P209" s="27"/>
      <c r="Q209" s="28"/>
      <c r="R209" s="32" t="s">
        <v>287</v>
      </c>
      <c r="S209" s="33"/>
      <c r="T209" s="33"/>
      <c r="V209" s="6"/>
      <c r="X209" s="30" t="s">
        <v>293</v>
      </c>
      <c r="Y209" s="20">
        <v>22500</v>
      </c>
      <c r="Z209" s="31"/>
      <c r="AB209" s="31"/>
    </row>
    <row r="210" spans="2:29" ht="15" customHeight="1" x14ac:dyDescent="0.15">
      <c r="B210" s="33" t="s">
        <v>311</v>
      </c>
      <c r="C210" s="34"/>
      <c r="E210" s="27"/>
      <c r="F210" s="28"/>
      <c r="G210" s="27"/>
      <c r="H210" s="27"/>
      <c r="I210" s="27"/>
      <c r="J210" s="28"/>
      <c r="K210" s="27"/>
      <c r="L210" s="28"/>
      <c r="M210" s="27"/>
      <c r="N210" s="27"/>
      <c r="O210" s="27"/>
      <c r="P210" s="27"/>
      <c r="Q210" s="28"/>
      <c r="R210" s="32" t="s">
        <v>288</v>
      </c>
      <c r="S210" s="33"/>
      <c r="T210" s="33"/>
      <c r="V210" s="6"/>
      <c r="X210" s="30" t="s">
        <v>293</v>
      </c>
      <c r="Y210" s="20">
        <v>25000</v>
      </c>
      <c r="Z210" s="31"/>
      <c r="AB210" s="31"/>
    </row>
    <row r="211" spans="2:29" ht="15" customHeight="1" x14ac:dyDescent="0.15">
      <c r="B211" s="33" t="s">
        <v>312</v>
      </c>
      <c r="C211" s="34"/>
      <c r="E211" s="27"/>
      <c r="F211" s="28"/>
      <c r="G211" s="27"/>
      <c r="H211" s="27"/>
      <c r="I211" s="27"/>
      <c r="J211" s="28"/>
      <c r="K211" s="27"/>
      <c r="L211" s="28"/>
      <c r="M211" s="27"/>
      <c r="N211" s="27"/>
      <c r="O211" s="27"/>
      <c r="P211" s="27"/>
      <c r="Q211" s="28"/>
      <c r="R211" s="32" t="s">
        <v>289</v>
      </c>
      <c r="S211" s="33"/>
      <c r="T211" s="33"/>
      <c r="V211" s="6"/>
      <c r="X211" s="30" t="s">
        <v>293</v>
      </c>
      <c r="Y211" s="20">
        <v>27500</v>
      </c>
      <c r="Z211" s="31"/>
      <c r="AB211" s="31"/>
    </row>
    <row r="212" spans="2:29" ht="15" customHeight="1" x14ac:dyDescent="0.15">
      <c r="B212" s="33" t="s">
        <v>313</v>
      </c>
      <c r="C212" s="34"/>
      <c r="E212" s="27"/>
      <c r="F212" s="28"/>
      <c r="G212" s="27"/>
      <c r="H212" s="27"/>
      <c r="I212" s="27"/>
      <c r="J212" s="28"/>
      <c r="K212" s="27"/>
      <c r="L212" s="28"/>
      <c r="M212" s="27"/>
      <c r="N212" s="27"/>
      <c r="O212" s="27"/>
      <c r="P212" s="27"/>
      <c r="Q212" s="28"/>
      <c r="R212" s="32" t="s">
        <v>290</v>
      </c>
      <c r="S212" s="33"/>
      <c r="T212" s="33"/>
      <c r="V212" s="6"/>
      <c r="X212" s="30" t="s">
        <v>293</v>
      </c>
      <c r="Y212" s="20">
        <v>30000</v>
      </c>
      <c r="Z212" s="31"/>
      <c r="AB212" s="31"/>
    </row>
    <row r="213" spans="2:29" ht="15" customHeight="1" x14ac:dyDescent="0.15">
      <c r="B213" s="15" t="s">
        <v>314</v>
      </c>
      <c r="C213" s="35"/>
      <c r="D213" s="36"/>
      <c r="E213" s="37"/>
      <c r="F213" s="38"/>
      <c r="G213" s="37"/>
      <c r="H213" s="37"/>
      <c r="I213" s="37"/>
      <c r="J213" s="38"/>
      <c r="K213" s="37"/>
      <c r="L213" s="38"/>
      <c r="M213" s="37"/>
      <c r="N213" s="37"/>
      <c r="O213" s="37"/>
      <c r="P213" s="37"/>
      <c r="Q213" s="38"/>
      <c r="R213" s="39" t="s">
        <v>291</v>
      </c>
      <c r="S213" s="15"/>
      <c r="T213" s="15"/>
      <c r="U213" s="16"/>
      <c r="V213" s="40"/>
      <c r="W213" s="36"/>
      <c r="X213" s="41" t="s">
        <v>293</v>
      </c>
      <c r="Y213" s="36">
        <v>40000</v>
      </c>
      <c r="Z213" s="45" t="s">
        <v>315</v>
      </c>
      <c r="AA213" s="46">
        <v>0.05</v>
      </c>
      <c r="AB213" s="45"/>
      <c r="AC213" s="46"/>
    </row>
    <row r="214" spans="2:29" ht="15" customHeight="1" x14ac:dyDescent="0.15">
      <c r="B214" s="4" t="s">
        <v>316</v>
      </c>
      <c r="C214" s="19">
        <v>1.1574074074074073E-3</v>
      </c>
      <c r="D214" s="20">
        <v>1</v>
      </c>
      <c r="E214" s="27">
        <v>10</v>
      </c>
      <c r="F214" s="28">
        <v>35</v>
      </c>
      <c r="G214" s="29">
        <v>500</v>
      </c>
      <c r="H214" s="29">
        <v>500</v>
      </c>
      <c r="I214" s="29">
        <v>200</v>
      </c>
      <c r="J214" s="28">
        <v>300</v>
      </c>
      <c r="K214" s="27">
        <v>2525</v>
      </c>
      <c r="L214" s="28">
        <v>5</v>
      </c>
      <c r="M214" s="29">
        <v>2500</v>
      </c>
      <c r="N214" s="29">
        <v>2500</v>
      </c>
      <c r="O214" s="29">
        <v>1100</v>
      </c>
      <c r="P214" s="29">
        <v>1500</v>
      </c>
      <c r="Q214" s="28">
        <v>100</v>
      </c>
      <c r="R214" s="4" t="s">
        <v>125</v>
      </c>
      <c r="X214" s="25" t="s">
        <v>317</v>
      </c>
      <c r="Y214" s="44">
        <v>0.01</v>
      </c>
      <c r="Z214" s="25"/>
      <c r="AA214" s="44"/>
    </row>
    <row r="215" spans="2:29" ht="15" customHeight="1" x14ac:dyDescent="0.15">
      <c r="B215" s="4" t="s">
        <v>318</v>
      </c>
      <c r="C215" s="19">
        <v>2.3148148148148151E-3</v>
      </c>
      <c r="D215" s="20">
        <v>1</v>
      </c>
      <c r="E215" s="27">
        <v>25</v>
      </c>
      <c r="F215" s="28">
        <v>70</v>
      </c>
      <c r="G215" s="29">
        <v>900</v>
      </c>
      <c r="H215" s="29">
        <v>900</v>
      </c>
      <c r="I215" s="29">
        <v>360</v>
      </c>
      <c r="J215" s="28">
        <v>540</v>
      </c>
      <c r="K215" s="27">
        <v>2575</v>
      </c>
      <c r="L215" s="28">
        <v>20</v>
      </c>
      <c r="M215" s="29">
        <v>2300</v>
      </c>
      <c r="N215" s="29">
        <v>2300</v>
      </c>
      <c r="O215" s="29">
        <v>900</v>
      </c>
      <c r="P215" s="29">
        <v>1400</v>
      </c>
      <c r="Q215" s="28">
        <v>250</v>
      </c>
      <c r="R215" s="4" t="s">
        <v>128</v>
      </c>
      <c r="X215" s="30" t="s">
        <v>317</v>
      </c>
      <c r="Y215" s="44">
        <v>0.02</v>
      </c>
      <c r="Z215" s="30"/>
      <c r="AA215" s="44"/>
    </row>
    <row r="216" spans="2:29" ht="15" customHeight="1" x14ac:dyDescent="0.15">
      <c r="B216" s="4" t="s">
        <v>319</v>
      </c>
      <c r="C216" s="19">
        <v>4.6296296296296302E-3</v>
      </c>
      <c r="D216" s="20">
        <v>70</v>
      </c>
      <c r="E216" s="27">
        <v>50</v>
      </c>
      <c r="F216" s="28">
        <v>105</v>
      </c>
      <c r="G216" s="29">
        <v>1620</v>
      </c>
      <c r="H216" s="29">
        <v>1620</v>
      </c>
      <c r="I216" s="29">
        <v>648</v>
      </c>
      <c r="J216" s="28">
        <v>972</v>
      </c>
      <c r="K216" s="27">
        <v>2600</v>
      </c>
      <c r="L216" s="28">
        <v>40</v>
      </c>
      <c r="M216" s="29">
        <v>2800</v>
      </c>
      <c r="N216" s="29">
        <v>2800</v>
      </c>
      <c r="O216" s="29">
        <v>1100</v>
      </c>
      <c r="P216" s="29">
        <v>1600</v>
      </c>
      <c r="Q216" s="28">
        <v>400</v>
      </c>
      <c r="R216" s="4" t="s">
        <v>320</v>
      </c>
      <c r="X216" s="30" t="s">
        <v>317</v>
      </c>
      <c r="Y216" s="44">
        <v>0.03</v>
      </c>
      <c r="Z216" s="30"/>
      <c r="AA216" s="44"/>
    </row>
    <row r="217" spans="2:29" ht="15" customHeight="1" x14ac:dyDescent="0.15">
      <c r="B217" s="4" t="s">
        <v>321</v>
      </c>
      <c r="C217" s="19">
        <v>9.2592592592592605E-3</v>
      </c>
      <c r="D217" s="20">
        <v>70</v>
      </c>
      <c r="E217" s="27">
        <v>200</v>
      </c>
      <c r="F217" s="28">
        <v>175</v>
      </c>
      <c r="G217" s="29">
        <v>2916</v>
      </c>
      <c r="H217" s="29">
        <v>2916</v>
      </c>
      <c r="I217" s="29">
        <v>1167</v>
      </c>
      <c r="J217" s="28">
        <v>1750</v>
      </c>
      <c r="K217" s="27">
        <v>2650</v>
      </c>
      <c r="L217" s="28">
        <v>75</v>
      </c>
      <c r="M217" s="29">
        <v>3700</v>
      </c>
      <c r="N217" s="29">
        <v>3700</v>
      </c>
      <c r="O217" s="29">
        <v>1500</v>
      </c>
      <c r="P217" s="29">
        <v>2200</v>
      </c>
      <c r="Q217" s="28">
        <v>450</v>
      </c>
      <c r="R217" s="4" t="s">
        <v>322</v>
      </c>
      <c r="X217" s="30" t="s">
        <v>317</v>
      </c>
      <c r="Y217" s="44">
        <v>0.04</v>
      </c>
      <c r="Z217" s="30"/>
      <c r="AA217" s="44"/>
    </row>
    <row r="218" spans="2:29" ht="15" customHeight="1" x14ac:dyDescent="0.15">
      <c r="B218" s="4" t="s">
        <v>323</v>
      </c>
      <c r="C218" s="19">
        <v>1.8518518518518521E-2</v>
      </c>
      <c r="D218" s="20">
        <v>130</v>
      </c>
      <c r="E218" s="27">
        <v>400</v>
      </c>
      <c r="F218" s="28">
        <v>245</v>
      </c>
      <c r="G218" s="29">
        <v>5249</v>
      </c>
      <c r="H218" s="29">
        <v>5249</v>
      </c>
      <c r="I218" s="29">
        <v>2101</v>
      </c>
      <c r="J218" s="28">
        <v>3150</v>
      </c>
      <c r="K218" s="27">
        <v>10175</v>
      </c>
      <c r="L218" s="28">
        <v>125</v>
      </c>
      <c r="M218" s="29">
        <v>5300</v>
      </c>
      <c r="N218" s="29">
        <v>5300</v>
      </c>
      <c r="O218" s="29">
        <v>2200</v>
      </c>
      <c r="P218" s="29">
        <v>3200</v>
      </c>
      <c r="Q218" s="28">
        <v>750</v>
      </c>
      <c r="R218" s="4" t="s">
        <v>54</v>
      </c>
      <c r="X218" s="30" t="s">
        <v>317</v>
      </c>
      <c r="Y218" s="44">
        <v>0.05</v>
      </c>
      <c r="Z218" s="30"/>
      <c r="AA218" s="44"/>
    </row>
    <row r="219" spans="2:29" ht="15" customHeight="1" x14ac:dyDescent="0.15">
      <c r="B219" s="4" t="s">
        <v>324</v>
      </c>
      <c r="C219" s="19">
        <v>3.7037037037037042E-2</v>
      </c>
      <c r="D219" s="20">
        <v>130</v>
      </c>
      <c r="E219" s="27">
        <v>500</v>
      </c>
      <c r="F219" s="28">
        <v>385</v>
      </c>
      <c r="G219" s="29">
        <v>10498</v>
      </c>
      <c r="H219" s="29">
        <v>10498</v>
      </c>
      <c r="I219" s="29">
        <v>4202</v>
      </c>
      <c r="J219" s="28">
        <v>6300</v>
      </c>
      <c r="K219" s="27">
        <v>10000</v>
      </c>
      <c r="L219" s="28">
        <v>202</v>
      </c>
      <c r="M219" s="29">
        <v>8700</v>
      </c>
      <c r="N219" s="29">
        <v>8700</v>
      </c>
      <c r="O219" s="29">
        <v>3500</v>
      </c>
      <c r="P219" s="29">
        <v>5200</v>
      </c>
      <c r="Q219" s="28">
        <v>650</v>
      </c>
      <c r="R219" s="4" t="s">
        <v>57</v>
      </c>
      <c r="X219" s="30" t="s">
        <v>317</v>
      </c>
      <c r="Y219" s="44">
        <v>0.06</v>
      </c>
      <c r="Z219" s="30"/>
      <c r="AA219" s="44"/>
    </row>
    <row r="220" spans="2:29" ht="15" customHeight="1" x14ac:dyDescent="0.15">
      <c r="B220" s="4" t="s">
        <v>325</v>
      </c>
      <c r="C220" s="19">
        <v>7.407407407407407E-2</v>
      </c>
      <c r="D220" s="20">
        <v>300</v>
      </c>
      <c r="E220" s="27">
        <v>500</v>
      </c>
      <c r="F220" s="28">
        <v>595</v>
      </c>
      <c r="G220" s="29">
        <v>20996</v>
      </c>
      <c r="H220" s="29">
        <v>20996</v>
      </c>
      <c r="I220" s="29">
        <v>8404</v>
      </c>
      <c r="J220" s="28">
        <v>12600</v>
      </c>
      <c r="K220" s="27">
        <v>20000</v>
      </c>
      <c r="L220" s="28">
        <v>300</v>
      </c>
      <c r="M220" s="29">
        <v>14900</v>
      </c>
      <c r="N220" s="29">
        <v>14900</v>
      </c>
      <c r="O220" s="29">
        <v>6000</v>
      </c>
      <c r="P220" s="29">
        <v>9000</v>
      </c>
      <c r="Q220" s="28">
        <v>500</v>
      </c>
      <c r="R220" s="4" t="s">
        <v>61</v>
      </c>
      <c r="X220" s="30" t="s">
        <v>317</v>
      </c>
      <c r="Y220" s="44">
        <v>7.0000000000000007E-2</v>
      </c>
      <c r="Z220" s="30"/>
      <c r="AA220" s="44"/>
    </row>
    <row r="221" spans="2:29" ht="15" customHeight="1" x14ac:dyDescent="0.15">
      <c r="B221" s="4" t="s">
        <v>326</v>
      </c>
      <c r="C221" s="19">
        <v>0.14814814814814814</v>
      </c>
      <c r="D221" s="20">
        <v>300</v>
      </c>
      <c r="E221" s="27">
        <v>500</v>
      </c>
      <c r="F221" s="28">
        <v>875</v>
      </c>
      <c r="G221" s="29">
        <v>41992</v>
      </c>
      <c r="H221" s="29">
        <v>41992</v>
      </c>
      <c r="I221" s="29">
        <v>16808</v>
      </c>
      <c r="J221" s="28">
        <v>25200</v>
      </c>
      <c r="K221" s="27">
        <v>30000</v>
      </c>
      <c r="L221" s="28">
        <v>475</v>
      </c>
      <c r="M221" s="29">
        <v>26200</v>
      </c>
      <c r="N221" s="29">
        <v>26200</v>
      </c>
      <c r="O221" s="29">
        <v>10500</v>
      </c>
      <c r="P221" s="29">
        <v>15700</v>
      </c>
      <c r="Q221" s="28">
        <v>600</v>
      </c>
      <c r="R221" s="32" t="s">
        <v>64</v>
      </c>
      <c r="X221" s="30" t="s">
        <v>317</v>
      </c>
      <c r="Y221" s="44">
        <v>0.08</v>
      </c>
      <c r="Z221" s="30"/>
      <c r="AA221" s="44"/>
    </row>
    <row r="222" spans="2:29" ht="15" customHeight="1" x14ac:dyDescent="0.15">
      <c r="B222" s="4" t="s">
        <v>327</v>
      </c>
      <c r="C222" s="19">
        <v>0.29629629629629628</v>
      </c>
      <c r="D222" s="20">
        <v>650</v>
      </c>
      <c r="E222" s="27">
        <v>500</v>
      </c>
      <c r="F222" s="28">
        <v>1330</v>
      </c>
      <c r="G222" s="48">
        <f>G221*2</f>
        <v>83984</v>
      </c>
      <c r="H222" s="27">
        <f>H221*2</f>
        <v>83984</v>
      </c>
      <c r="I222" s="27">
        <f>I221*2</f>
        <v>33616</v>
      </c>
      <c r="J222" s="28">
        <f>J221*2</f>
        <v>50400</v>
      </c>
      <c r="K222" s="27">
        <v>50000</v>
      </c>
      <c r="L222" s="28">
        <v>750</v>
      </c>
      <c r="M222" s="29">
        <v>46600</v>
      </c>
      <c r="N222" s="29">
        <v>46600</v>
      </c>
      <c r="O222" s="29">
        <v>18600</v>
      </c>
      <c r="P222" s="29">
        <v>28000</v>
      </c>
      <c r="Q222" s="28">
        <v>750</v>
      </c>
      <c r="R222" s="32" t="s">
        <v>67</v>
      </c>
      <c r="X222" s="30" t="s">
        <v>317</v>
      </c>
      <c r="Y222" s="44">
        <v>0.09</v>
      </c>
      <c r="Z222" s="30"/>
      <c r="AA222" s="44"/>
    </row>
    <row r="223" spans="2:29" ht="15" customHeight="1" x14ac:dyDescent="0.15">
      <c r="B223" s="4" t="s">
        <v>328</v>
      </c>
      <c r="C223" s="19">
        <v>0.59259259259259256</v>
      </c>
      <c r="D223" s="20">
        <v>1000</v>
      </c>
      <c r="E223" s="27">
        <v>500</v>
      </c>
      <c r="F223" s="28">
        <v>1995</v>
      </c>
      <c r="G223" s="29">
        <v>125976</v>
      </c>
      <c r="H223" s="29">
        <v>125976</v>
      </c>
      <c r="I223" s="29">
        <v>50424</v>
      </c>
      <c r="J223" s="28">
        <v>75600</v>
      </c>
      <c r="K223" s="27">
        <v>60000</v>
      </c>
      <c r="L223" s="28">
        <v>1150</v>
      </c>
      <c r="M223" s="29">
        <v>25195</v>
      </c>
      <c r="N223" s="29">
        <v>25195</v>
      </c>
      <c r="O223" s="29">
        <v>10084</v>
      </c>
      <c r="P223" s="29">
        <v>15120</v>
      </c>
      <c r="Q223" s="28">
        <v>550</v>
      </c>
      <c r="R223" s="32" t="s">
        <v>71</v>
      </c>
      <c r="X223" s="30" t="s">
        <v>317</v>
      </c>
      <c r="Y223" s="44">
        <v>0.1</v>
      </c>
      <c r="Z223" s="30"/>
      <c r="AA223" s="44"/>
    </row>
    <row r="224" spans="2:29" ht="15" customHeight="1" x14ac:dyDescent="0.15">
      <c r="B224" s="4" t="s">
        <v>329</v>
      </c>
      <c r="C224" s="19">
        <v>0.71111111111111114</v>
      </c>
      <c r="D224" s="20">
        <v>1000</v>
      </c>
      <c r="E224" s="27">
        <v>500</v>
      </c>
      <c r="F224" s="28">
        <v>3010</v>
      </c>
      <c r="G224" s="29">
        <v>188964</v>
      </c>
      <c r="H224" s="29">
        <v>188964</v>
      </c>
      <c r="I224" s="29">
        <v>75636</v>
      </c>
      <c r="J224" s="28">
        <v>113400</v>
      </c>
      <c r="K224" s="27">
        <v>100000</v>
      </c>
      <c r="L224" s="28">
        <v>1750</v>
      </c>
      <c r="M224" s="29">
        <v>34357</v>
      </c>
      <c r="N224" s="29">
        <v>34357</v>
      </c>
      <c r="O224" s="29">
        <v>13752</v>
      </c>
      <c r="P224" s="29">
        <v>20618</v>
      </c>
      <c r="Q224" s="28">
        <v>400</v>
      </c>
      <c r="R224" s="32" t="s">
        <v>75</v>
      </c>
      <c r="X224" s="30" t="s">
        <v>317</v>
      </c>
      <c r="Y224" s="44">
        <v>0.11</v>
      </c>
      <c r="Z224" s="30"/>
      <c r="AA224" s="44"/>
    </row>
    <row r="225" spans="2:29" ht="15" customHeight="1" x14ac:dyDescent="0.15">
      <c r="B225" s="4" t="s">
        <v>330</v>
      </c>
      <c r="E225" s="27"/>
      <c r="F225" s="28"/>
      <c r="G225" s="29"/>
      <c r="H225" s="29"/>
      <c r="I225" s="29"/>
      <c r="J225" s="28"/>
      <c r="K225" s="27"/>
      <c r="L225" s="28"/>
      <c r="M225" s="29"/>
      <c r="N225" s="29"/>
      <c r="O225" s="29"/>
      <c r="P225" s="29"/>
      <c r="Q225" s="28"/>
      <c r="R225" s="32" t="s">
        <v>79</v>
      </c>
      <c r="X225" s="30" t="s">
        <v>317</v>
      </c>
      <c r="Y225" s="44">
        <v>0.12</v>
      </c>
      <c r="Z225" s="30"/>
      <c r="AA225" s="44"/>
    </row>
    <row r="226" spans="2:29" ht="15" customHeight="1" x14ac:dyDescent="0.15">
      <c r="B226" s="4" t="s">
        <v>331</v>
      </c>
      <c r="E226" s="27"/>
      <c r="F226" s="28"/>
      <c r="G226" s="29"/>
      <c r="H226" s="29"/>
      <c r="I226" s="29"/>
      <c r="J226" s="28"/>
      <c r="K226" s="27"/>
      <c r="L226" s="28"/>
      <c r="M226" s="29"/>
      <c r="N226" s="29"/>
      <c r="O226" s="29"/>
      <c r="P226" s="29"/>
      <c r="Q226" s="28"/>
      <c r="R226" s="32" t="s">
        <v>81</v>
      </c>
      <c r="X226" s="30" t="s">
        <v>317</v>
      </c>
      <c r="Y226" s="44">
        <v>0.13</v>
      </c>
      <c r="Z226" s="30"/>
      <c r="AA226" s="44"/>
    </row>
    <row r="227" spans="2:29" ht="15" customHeight="1" x14ac:dyDescent="0.15">
      <c r="B227" s="4" t="s">
        <v>332</v>
      </c>
      <c r="E227" s="27"/>
      <c r="F227" s="28"/>
      <c r="G227" s="29"/>
      <c r="H227" s="29"/>
      <c r="I227" s="29"/>
      <c r="J227" s="28"/>
      <c r="K227" s="27"/>
      <c r="L227" s="28"/>
      <c r="M227" s="29"/>
      <c r="N227" s="29"/>
      <c r="O227" s="29"/>
      <c r="P227" s="29"/>
      <c r="Q227" s="28"/>
      <c r="R227" s="32" t="s">
        <v>83</v>
      </c>
      <c r="X227" s="30" t="s">
        <v>317</v>
      </c>
      <c r="Y227" s="44">
        <v>0.14000000000000001</v>
      </c>
      <c r="Z227" s="30"/>
      <c r="AA227" s="44"/>
    </row>
    <row r="228" spans="2:29" ht="15" customHeight="1" x14ac:dyDescent="0.15">
      <c r="B228" s="4" t="s">
        <v>333</v>
      </c>
      <c r="E228" s="27"/>
      <c r="F228" s="28"/>
      <c r="G228" s="29"/>
      <c r="H228" s="29"/>
      <c r="I228" s="29"/>
      <c r="J228" s="28"/>
      <c r="K228" s="27"/>
      <c r="L228" s="28"/>
      <c r="M228" s="29"/>
      <c r="N228" s="29"/>
      <c r="O228" s="29"/>
      <c r="P228" s="29"/>
      <c r="Q228" s="28"/>
      <c r="R228" s="32" t="s">
        <v>85</v>
      </c>
      <c r="X228" s="30" t="s">
        <v>317</v>
      </c>
      <c r="Y228" s="44">
        <v>0.15</v>
      </c>
      <c r="Z228" s="30"/>
      <c r="AA228" s="44"/>
    </row>
    <row r="229" spans="2:29" ht="15" customHeight="1" x14ac:dyDescent="0.15">
      <c r="B229" s="4" t="s">
        <v>334</v>
      </c>
      <c r="E229" s="27"/>
      <c r="F229" s="28"/>
      <c r="G229" s="29"/>
      <c r="H229" s="29"/>
      <c r="I229" s="29"/>
      <c r="J229" s="28"/>
      <c r="K229" s="27"/>
      <c r="L229" s="28"/>
      <c r="M229" s="29"/>
      <c r="N229" s="29"/>
      <c r="O229" s="29"/>
      <c r="P229" s="29"/>
      <c r="Q229" s="28"/>
      <c r="R229" s="32" t="s">
        <v>88</v>
      </c>
      <c r="X229" s="30" t="s">
        <v>317</v>
      </c>
      <c r="Y229" s="44">
        <v>0.16</v>
      </c>
      <c r="Z229" s="30"/>
      <c r="AA229" s="44"/>
    </row>
    <row r="230" spans="2:29" ht="15" customHeight="1" x14ac:dyDescent="0.15">
      <c r="B230" s="4" t="s">
        <v>335</v>
      </c>
      <c r="E230" s="27"/>
      <c r="F230" s="28"/>
      <c r="G230" s="29"/>
      <c r="H230" s="29"/>
      <c r="I230" s="29"/>
      <c r="J230" s="28"/>
      <c r="K230" s="27"/>
      <c r="L230" s="28"/>
      <c r="M230" s="29"/>
      <c r="N230" s="29"/>
      <c r="O230" s="29"/>
      <c r="P230" s="29"/>
      <c r="Q230" s="28"/>
      <c r="R230" s="32" t="s">
        <v>90</v>
      </c>
      <c r="X230" s="30" t="s">
        <v>317</v>
      </c>
      <c r="Y230" s="44">
        <v>0.17</v>
      </c>
      <c r="Z230" s="30"/>
      <c r="AA230" s="44"/>
    </row>
    <row r="231" spans="2:29" ht="15" customHeight="1" x14ac:dyDescent="0.15">
      <c r="B231" s="4" t="s">
        <v>336</v>
      </c>
      <c r="E231" s="27"/>
      <c r="F231" s="28"/>
      <c r="G231" s="29"/>
      <c r="H231" s="29"/>
      <c r="I231" s="29"/>
      <c r="J231" s="28"/>
      <c r="K231" s="27"/>
      <c r="L231" s="28"/>
      <c r="M231" s="29"/>
      <c r="N231" s="29"/>
      <c r="O231" s="29"/>
      <c r="P231" s="29"/>
      <c r="Q231" s="28"/>
      <c r="R231" s="32" t="s">
        <v>92</v>
      </c>
      <c r="X231" s="30" t="s">
        <v>317</v>
      </c>
      <c r="Y231" s="44">
        <v>0.18</v>
      </c>
      <c r="Z231" s="30"/>
      <c r="AA231" s="44"/>
    </row>
    <row r="232" spans="2:29" ht="15" customHeight="1" x14ac:dyDescent="0.15">
      <c r="B232" s="4" t="s">
        <v>337</v>
      </c>
      <c r="E232" s="27"/>
      <c r="F232" s="28"/>
      <c r="G232" s="29"/>
      <c r="H232" s="29"/>
      <c r="I232" s="29"/>
      <c r="J232" s="28"/>
      <c r="K232" s="27"/>
      <c r="L232" s="28"/>
      <c r="M232" s="29"/>
      <c r="N232" s="29"/>
      <c r="O232" s="29"/>
      <c r="P232" s="29"/>
      <c r="Q232" s="28"/>
      <c r="R232" s="32" t="s">
        <v>94</v>
      </c>
      <c r="X232" s="30" t="s">
        <v>317</v>
      </c>
      <c r="Y232" s="44">
        <v>0.19</v>
      </c>
      <c r="Z232" s="30"/>
      <c r="AA232" s="44"/>
    </row>
    <row r="233" spans="2:29" ht="15" customHeight="1" x14ac:dyDescent="0.15">
      <c r="B233" s="4" t="s">
        <v>338</v>
      </c>
      <c r="E233" s="27"/>
      <c r="F233" s="28"/>
      <c r="G233" s="29"/>
      <c r="H233" s="29"/>
      <c r="I233" s="29"/>
      <c r="J233" s="28"/>
      <c r="K233" s="27"/>
      <c r="L233" s="28"/>
      <c r="M233" s="29"/>
      <c r="N233" s="29"/>
      <c r="O233" s="29"/>
      <c r="P233" s="29"/>
      <c r="Q233" s="28"/>
      <c r="R233" s="32" t="s">
        <v>96</v>
      </c>
      <c r="X233" s="30" t="s">
        <v>317</v>
      </c>
      <c r="Y233" s="44">
        <v>0.2</v>
      </c>
      <c r="Z233" s="30"/>
      <c r="AA233" s="44"/>
    </row>
    <row r="234" spans="2:29" ht="15" customHeight="1" x14ac:dyDescent="0.15">
      <c r="B234" s="15" t="s">
        <v>339</v>
      </c>
      <c r="C234" s="35"/>
      <c r="D234" s="36"/>
      <c r="E234" s="37"/>
      <c r="F234" s="38"/>
      <c r="G234" s="37"/>
      <c r="H234" s="37"/>
      <c r="I234" s="37"/>
      <c r="J234" s="38"/>
      <c r="K234" s="37"/>
      <c r="L234" s="38"/>
      <c r="M234" s="37"/>
      <c r="N234" s="37"/>
      <c r="O234" s="37"/>
      <c r="P234" s="37"/>
      <c r="Q234" s="38"/>
      <c r="R234" s="39" t="s">
        <v>98</v>
      </c>
      <c r="S234" s="15"/>
      <c r="T234" s="15"/>
      <c r="U234" s="16"/>
      <c r="V234" s="40"/>
      <c r="W234" s="36"/>
      <c r="X234" s="41" t="s">
        <v>317</v>
      </c>
      <c r="Y234" s="46">
        <v>0.25</v>
      </c>
      <c r="Z234" s="41"/>
      <c r="AA234" s="46"/>
      <c r="AB234" s="45"/>
      <c r="AC234" s="46"/>
    </row>
    <row r="235" spans="2:29" ht="15" customHeight="1" x14ac:dyDescent="0.15">
      <c r="B235" s="4" t="s">
        <v>340</v>
      </c>
      <c r="C235" s="19">
        <v>8.6805555555555551E-4</v>
      </c>
      <c r="D235" s="20">
        <v>1</v>
      </c>
      <c r="E235" s="27">
        <v>10</v>
      </c>
      <c r="F235" s="28">
        <v>10</v>
      </c>
      <c r="G235" s="29">
        <v>300</v>
      </c>
      <c r="H235" s="29">
        <v>400</v>
      </c>
      <c r="I235" s="29">
        <v>800</v>
      </c>
      <c r="J235" s="28">
        <v>300</v>
      </c>
      <c r="K235" s="27">
        <v>2525</v>
      </c>
      <c r="L235" s="28">
        <v>2</v>
      </c>
      <c r="M235" s="29">
        <v>500</v>
      </c>
      <c r="N235" s="29">
        <v>800</v>
      </c>
      <c r="O235" s="29">
        <v>1500</v>
      </c>
      <c r="P235" s="29">
        <v>500</v>
      </c>
      <c r="Q235" s="28">
        <v>600</v>
      </c>
      <c r="R235" s="4" t="s">
        <v>341</v>
      </c>
      <c r="X235" s="7" t="s">
        <v>342</v>
      </c>
      <c r="Y235" s="44">
        <v>0.05</v>
      </c>
      <c r="AA235" s="44"/>
    </row>
    <row r="236" spans="2:29" ht="15" customHeight="1" x14ac:dyDescent="0.15">
      <c r="B236" s="4" t="s">
        <v>343</v>
      </c>
      <c r="C236" s="19">
        <v>1.736111111111111E-3</v>
      </c>
      <c r="D236" s="20">
        <v>1</v>
      </c>
      <c r="E236" s="27">
        <v>25</v>
      </c>
      <c r="F236" s="28">
        <v>25</v>
      </c>
      <c r="G236" s="29">
        <v>510</v>
      </c>
      <c r="H236" s="29">
        <v>680</v>
      </c>
      <c r="I236" s="29">
        <v>1360</v>
      </c>
      <c r="J236" s="28">
        <v>510</v>
      </c>
      <c r="K236" s="27">
        <v>2575</v>
      </c>
      <c r="L236" s="28">
        <v>5</v>
      </c>
      <c r="M236" s="29">
        <v>1400</v>
      </c>
      <c r="N236" s="29">
        <v>1800</v>
      </c>
      <c r="O236" s="29">
        <v>3500</v>
      </c>
      <c r="P236" s="29">
        <v>1400</v>
      </c>
      <c r="Q236" s="28">
        <v>250</v>
      </c>
      <c r="R236" s="4" t="s">
        <v>344</v>
      </c>
      <c r="X236" s="30" t="s">
        <v>342</v>
      </c>
      <c r="Y236" s="44">
        <v>0.1</v>
      </c>
      <c r="AA236" s="44"/>
    </row>
    <row r="237" spans="2:29" ht="15" customHeight="1" x14ac:dyDescent="0.15">
      <c r="B237" s="4" t="s">
        <v>345</v>
      </c>
      <c r="C237" s="19">
        <v>3.472222222222222E-3</v>
      </c>
      <c r="D237" s="20">
        <v>1</v>
      </c>
      <c r="E237" s="27">
        <v>50</v>
      </c>
      <c r="F237" s="28">
        <v>40</v>
      </c>
      <c r="G237" s="29">
        <v>867</v>
      </c>
      <c r="H237" s="29">
        <v>1156</v>
      </c>
      <c r="I237" s="29">
        <v>2312</v>
      </c>
      <c r="J237" s="28">
        <v>867</v>
      </c>
      <c r="K237" s="27">
        <v>2600</v>
      </c>
      <c r="L237" s="28">
        <v>15</v>
      </c>
      <c r="M237" s="29">
        <v>1500</v>
      </c>
      <c r="N237" s="29">
        <v>1900</v>
      </c>
      <c r="O237" s="29">
        <v>3900</v>
      </c>
      <c r="P237" s="29">
        <v>1500</v>
      </c>
      <c r="Q237" s="28">
        <v>550</v>
      </c>
      <c r="R237" s="4" t="s">
        <v>221</v>
      </c>
      <c r="X237" s="30" t="s">
        <v>342</v>
      </c>
      <c r="Y237" s="44">
        <v>0.15</v>
      </c>
      <c r="AA237" s="44"/>
    </row>
    <row r="238" spans="2:29" ht="15" customHeight="1" x14ac:dyDescent="0.15">
      <c r="B238" s="4" t="s">
        <v>346</v>
      </c>
      <c r="C238" s="19">
        <v>6.9444444444444441E-3</v>
      </c>
      <c r="D238" s="20">
        <v>1</v>
      </c>
      <c r="E238" s="27">
        <v>200</v>
      </c>
      <c r="F238" s="28">
        <v>60</v>
      </c>
      <c r="G238" s="29">
        <v>1474</v>
      </c>
      <c r="H238" s="29">
        <v>1966</v>
      </c>
      <c r="I238" s="29">
        <v>3931</v>
      </c>
      <c r="J238" s="28">
        <v>1474</v>
      </c>
      <c r="K238" s="27">
        <v>2650</v>
      </c>
      <c r="L238" s="28">
        <v>25</v>
      </c>
      <c r="M238" s="29">
        <v>1900</v>
      </c>
      <c r="N238" s="29">
        <v>2500</v>
      </c>
      <c r="O238" s="29">
        <v>5000</v>
      </c>
      <c r="P238" s="29">
        <v>1900</v>
      </c>
      <c r="Q238" s="28">
        <v>950</v>
      </c>
      <c r="R238" s="4" t="s">
        <v>222</v>
      </c>
      <c r="X238" s="30" t="s">
        <v>342</v>
      </c>
      <c r="Y238" s="44">
        <v>0.2</v>
      </c>
      <c r="AA238" s="44"/>
    </row>
    <row r="239" spans="2:29" ht="15" customHeight="1" x14ac:dyDescent="0.15">
      <c r="B239" s="4" t="s">
        <v>104</v>
      </c>
      <c r="C239" s="19">
        <v>1.3888888888888888E-2</v>
      </c>
      <c r="D239" s="20">
        <v>130</v>
      </c>
      <c r="E239" s="27">
        <v>400</v>
      </c>
      <c r="F239" s="28">
        <v>90</v>
      </c>
      <c r="G239" s="29">
        <v>2506</v>
      </c>
      <c r="H239" s="29">
        <v>3343</v>
      </c>
      <c r="I239" s="29">
        <v>6683</v>
      </c>
      <c r="J239" s="28">
        <v>2506</v>
      </c>
      <c r="K239" s="27">
        <v>10175</v>
      </c>
      <c r="L239" s="28">
        <v>45</v>
      </c>
      <c r="M239" s="29">
        <v>2600</v>
      </c>
      <c r="N239" s="29">
        <v>3500</v>
      </c>
      <c r="O239" s="29">
        <v>6800</v>
      </c>
      <c r="P239" s="29">
        <v>2600</v>
      </c>
      <c r="Q239" s="28">
        <v>750</v>
      </c>
      <c r="R239" s="4" t="s">
        <v>347</v>
      </c>
      <c r="X239" s="30" t="s">
        <v>342</v>
      </c>
      <c r="Y239" s="44">
        <v>0.25</v>
      </c>
      <c r="AA239" s="44"/>
    </row>
    <row r="240" spans="2:29" ht="15" customHeight="1" x14ac:dyDescent="0.15">
      <c r="B240" s="4" t="s">
        <v>106</v>
      </c>
      <c r="C240" s="19">
        <v>2.7777777777777776E-2</v>
      </c>
      <c r="D240" s="20">
        <v>130</v>
      </c>
      <c r="E240" s="27">
        <v>500</v>
      </c>
      <c r="F240" s="28">
        <v>135</v>
      </c>
      <c r="G240" s="29">
        <v>5012</v>
      </c>
      <c r="H240" s="29">
        <v>6686</v>
      </c>
      <c r="I240" s="29">
        <v>13366</v>
      </c>
      <c r="J240" s="28">
        <v>5012</v>
      </c>
      <c r="K240" s="27">
        <v>10000</v>
      </c>
      <c r="L240" s="28">
        <v>70</v>
      </c>
      <c r="M240" s="29">
        <v>4100</v>
      </c>
      <c r="N240" s="29">
        <v>5500</v>
      </c>
      <c r="O240" s="29">
        <v>11100</v>
      </c>
      <c r="P240" s="29">
        <v>4100</v>
      </c>
      <c r="Q240" s="28">
        <v>650</v>
      </c>
      <c r="R240" s="4" t="s">
        <v>224</v>
      </c>
      <c r="X240" s="30" t="s">
        <v>342</v>
      </c>
      <c r="Y240" s="44">
        <v>0.3</v>
      </c>
      <c r="AA240" s="44"/>
    </row>
    <row r="241" spans="2:29" ht="15" customHeight="1" x14ac:dyDescent="0.15">
      <c r="B241" s="4" t="s">
        <v>348</v>
      </c>
      <c r="C241" s="19">
        <v>5.5555555555555552E-2</v>
      </c>
      <c r="D241" s="20">
        <v>130</v>
      </c>
      <c r="E241" s="27">
        <v>500</v>
      </c>
      <c r="F241" s="28">
        <v>215</v>
      </c>
      <c r="G241" s="29">
        <v>10024</v>
      </c>
      <c r="H241" s="29">
        <v>13372</v>
      </c>
      <c r="I241" s="29">
        <v>26732</v>
      </c>
      <c r="J241" s="28">
        <v>10024</v>
      </c>
      <c r="K241" s="27">
        <v>20000</v>
      </c>
      <c r="L241" s="28">
        <v>115</v>
      </c>
      <c r="M241" s="29">
        <v>7100</v>
      </c>
      <c r="N241" s="29">
        <v>9500</v>
      </c>
      <c r="O241" s="29">
        <v>19000</v>
      </c>
      <c r="P241" s="29">
        <v>7100</v>
      </c>
      <c r="Q241" s="28">
        <v>500</v>
      </c>
      <c r="R241" s="4" t="s">
        <v>349</v>
      </c>
      <c r="X241" s="30" t="s">
        <v>342</v>
      </c>
      <c r="Y241" s="44">
        <v>0.35</v>
      </c>
      <c r="AA241" s="44"/>
    </row>
    <row r="242" spans="2:29" ht="15" customHeight="1" x14ac:dyDescent="0.15">
      <c r="B242" s="4" t="s">
        <v>350</v>
      </c>
      <c r="C242" s="19">
        <v>0.1111111111111111</v>
      </c>
      <c r="D242" s="20">
        <v>300</v>
      </c>
      <c r="E242" s="27">
        <v>500</v>
      </c>
      <c r="F242" s="28">
        <v>310</v>
      </c>
      <c r="G242" s="29">
        <v>20048</v>
      </c>
      <c r="H242" s="29">
        <v>26744</v>
      </c>
      <c r="I242" s="29">
        <v>53464</v>
      </c>
      <c r="J242" s="28">
        <v>20048</v>
      </c>
      <c r="K242" s="27">
        <v>30000</v>
      </c>
      <c r="L242" s="28">
        <v>175</v>
      </c>
      <c r="M242" s="29">
        <v>12500</v>
      </c>
      <c r="N242" s="29">
        <v>16700</v>
      </c>
      <c r="O242" s="29">
        <v>33400</v>
      </c>
      <c r="P242" s="29">
        <v>12500</v>
      </c>
      <c r="Q242" s="28">
        <v>600</v>
      </c>
      <c r="R242" s="32" t="s">
        <v>226</v>
      </c>
      <c r="X242" s="30" t="s">
        <v>342</v>
      </c>
      <c r="Y242" s="44">
        <v>0.4</v>
      </c>
      <c r="AA242" s="44"/>
    </row>
    <row r="243" spans="2:29" ht="15" customHeight="1" x14ac:dyDescent="0.15">
      <c r="B243" s="4" t="s">
        <v>109</v>
      </c>
      <c r="C243" s="19">
        <v>0.22222222222222221</v>
      </c>
      <c r="D243" s="20">
        <v>650</v>
      </c>
      <c r="E243" s="27">
        <v>500</v>
      </c>
      <c r="F243" s="28">
        <v>475</v>
      </c>
      <c r="G243" s="29">
        <v>40096</v>
      </c>
      <c r="H243" s="29">
        <v>53488</v>
      </c>
      <c r="I243" s="29">
        <v>106928</v>
      </c>
      <c r="J243" s="28">
        <v>40096</v>
      </c>
      <c r="K243" s="27">
        <v>50000</v>
      </c>
      <c r="L243" s="28">
        <v>250</v>
      </c>
      <c r="M243" s="29">
        <v>22200</v>
      </c>
      <c r="N243" s="29">
        <v>29700</v>
      </c>
      <c r="O243" s="29">
        <v>59400</v>
      </c>
      <c r="P243" s="29">
        <v>22200</v>
      </c>
      <c r="Q243" s="28">
        <v>750</v>
      </c>
      <c r="R243" s="32" t="s">
        <v>227</v>
      </c>
      <c r="X243" s="30" t="s">
        <v>342</v>
      </c>
      <c r="Y243" s="44">
        <v>0.45</v>
      </c>
      <c r="AA243" s="44"/>
    </row>
    <row r="244" spans="2:29" ht="15" customHeight="1" x14ac:dyDescent="0.15">
      <c r="B244" s="4" t="s">
        <v>110</v>
      </c>
      <c r="C244" s="19">
        <v>0.44444444444444442</v>
      </c>
      <c r="D244" s="20">
        <v>650</v>
      </c>
      <c r="E244" s="27">
        <v>500</v>
      </c>
      <c r="F244" s="28">
        <v>715</v>
      </c>
      <c r="G244" s="29">
        <v>60144</v>
      </c>
      <c r="H244" s="29">
        <v>80232</v>
      </c>
      <c r="I244" s="29">
        <v>160392</v>
      </c>
      <c r="J244" s="28">
        <v>60144</v>
      </c>
      <c r="K244" s="27">
        <v>60000</v>
      </c>
      <c r="L244" s="28">
        <v>400</v>
      </c>
      <c r="M244" s="29">
        <v>12028</v>
      </c>
      <c r="N244" s="29">
        <v>16046</v>
      </c>
      <c r="O244" s="29">
        <v>32078</v>
      </c>
      <c r="P244" s="29">
        <v>12028</v>
      </c>
      <c r="Q244" s="28">
        <v>560</v>
      </c>
      <c r="R244" s="32" t="s">
        <v>228</v>
      </c>
      <c r="X244" s="30" t="s">
        <v>342</v>
      </c>
      <c r="Y244" s="44">
        <v>0.5</v>
      </c>
      <c r="AA244" s="44"/>
    </row>
    <row r="245" spans="2:29" ht="15" customHeight="1" x14ac:dyDescent="0.15">
      <c r="B245" s="4" t="s">
        <v>111</v>
      </c>
      <c r="C245" s="19">
        <v>0.53333333333333333</v>
      </c>
      <c r="D245" s="20">
        <v>650</v>
      </c>
      <c r="E245" s="27">
        <v>500</v>
      </c>
      <c r="F245" s="28">
        <v>1075</v>
      </c>
      <c r="G245" s="29">
        <v>90216</v>
      </c>
      <c r="H245" s="29">
        <v>120348</v>
      </c>
      <c r="I245" s="29">
        <v>240588</v>
      </c>
      <c r="J245" s="28">
        <v>90216</v>
      </c>
      <c r="K245" s="27">
        <v>100000</v>
      </c>
      <c r="L245" s="28">
        <v>625</v>
      </c>
      <c r="M245" s="29">
        <v>16402</v>
      </c>
      <c r="N245" s="29">
        <v>21881</v>
      </c>
      <c r="O245" s="29">
        <v>43743</v>
      </c>
      <c r="P245" s="29">
        <v>16402</v>
      </c>
      <c r="Q245" s="28">
        <v>400</v>
      </c>
      <c r="R245" s="32" t="s">
        <v>229</v>
      </c>
      <c r="X245" s="30" t="s">
        <v>342</v>
      </c>
      <c r="Y245" s="44">
        <v>0.55000000000000004</v>
      </c>
      <c r="AA245" s="44"/>
    </row>
    <row r="246" spans="2:29" ht="15" customHeight="1" x14ac:dyDescent="0.15">
      <c r="B246" s="4" t="s">
        <v>112</v>
      </c>
      <c r="E246" s="27"/>
      <c r="F246" s="28"/>
      <c r="G246" s="29"/>
      <c r="H246" s="29"/>
      <c r="I246" s="29"/>
      <c r="J246" s="28"/>
      <c r="K246" s="27"/>
      <c r="L246" s="28"/>
      <c r="M246" s="29"/>
      <c r="N246" s="29"/>
      <c r="O246" s="29"/>
      <c r="P246" s="29"/>
      <c r="Q246" s="28"/>
      <c r="R246" s="32" t="s">
        <v>230</v>
      </c>
      <c r="X246" s="30" t="s">
        <v>342</v>
      </c>
      <c r="Y246" s="44">
        <v>0.6</v>
      </c>
      <c r="AA246" s="44"/>
    </row>
    <row r="247" spans="2:29" ht="15" customHeight="1" x14ac:dyDescent="0.15">
      <c r="B247" s="4" t="s">
        <v>113</v>
      </c>
      <c r="E247" s="27"/>
      <c r="F247" s="28"/>
      <c r="G247" s="29"/>
      <c r="H247" s="29"/>
      <c r="I247" s="29"/>
      <c r="J247" s="28"/>
      <c r="K247" s="27"/>
      <c r="L247" s="28"/>
      <c r="M247" s="29"/>
      <c r="N247" s="29"/>
      <c r="O247" s="29"/>
      <c r="P247" s="29"/>
      <c r="Q247" s="28"/>
      <c r="R247" s="32" t="s">
        <v>231</v>
      </c>
      <c r="X247" s="30" t="s">
        <v>342</v>
      </c>
      <c r="Y247" s="44">
        <v>0.65</v>
      </c>
      <c r="AA247" s="44"/>
    </row>
    <row r="248" spans="2:29" ht="15" customHeight="1" x14ac:dyDescent="0.15">
      <c r="B248" s="4" t="s">
        <v>114</v>
      </c>
      <c r="E248" s="27"/>
      <c r="F248" s="28"/>
      <c r="G248" s="29"/>
      <c r="H248" s="29"/>
      <c r="I248" s="29"/>
      <c r="J248" s="28"/>
      <c r="K248" s="27"/>
      <c r="L248" s="28"/>
      <c r="M248" s="29"/>
      <c r="N248" s="29"/>
      <c r="O248" s="29"/>
      <c r="P248" s="29"/>
      <c r="Q248" s="28"/>
      <c r="R248" s="32" t="s">
        <v>232</v>
      </c>
      <c r="X248" s="30" t="s">
        <v>342</v>
      </c>
      <c r="Y248" s="44">
        <v>0.7</v>
      </c>
      <c r="AA248" s="44"/>
    </row>
    <row r="249" spans="2:29" ht="15" customHeight="1" x14ac:dyDescent="0.15">
      <c r="B249" s="4" t="s">
        <v>115</v>
      </c>
      <c r="E249" s="27"/>
      <c r="F249" s="28"/>
      <c r="G249" s="29"/>
      <c r="H249" s="29"/>
      <c r="I249" s="29"/>
      <c r="J249" s="28"/>
      <c r="K249" s="27"/>
      <c r="L249" s="28"/>
      <c r="M249" s="29"/>
      <c r="N249" s="29"/>
      <c r="O249" s="29"/>
      <c r="P249" s="29"/>
      <c r="Q249" s="28"/>
      <c r="R249" s="32" t="s">
        <v>233</v>
      </c>
      <c r="X249" s="30" t="s">
        <v>342</v>
      </c>
      <c r="Y249" s="44">
        <v>0.75</v>
      </c>
      <c r="AA249" s="44"/>
    </row>
    <row r="250" spans="2:29" ht="15" customHeight="1" x14ac:dyDescent="0.15">
      <c r="B250" s="4" t="s">
        <v>116</v>
      </c>
      <c r="E250" s="27"/>
      <c r="F250" s="28"/>
      <c r="G250" s="29"/>
      <c r="H250" s="29"/>
      <c r="I250" s="29"/>
      <c r="J250" s="28"/>
      <c r="K250" s="27"/>
      <c r="L250" s="28"/>
      <c r="M250" s="29"/>
      <c r="N250" s="29"/>
      <c r="O250" s="29"/>
      <c r="P250" s="29"/>
      <c r="Q250" s="28"/>
      <c r="R250" s="32" t="s">
        <v>234</v>
      </c>
      <c r="X250" s="30" t="s">
        <v>342</v>
      </c>
      <c r="Y250" s="44">
        <v>0.8</v>
      </c>
      <c r="AA250" s="44"/>
    </row>
    <row r="251" spans="2:29" ht="15" customHeight="1" x14ac:dyDescent="0.15">
      <c r="B251" s="4" t="s">
        <v>117</v>
      </c>
      <c r="E251" s="27"/>
      <c r="F251" s="28"/>
      <c r="G251" s="29"/>
      <c r="H251" s="29"/>
      <c r="I251" s="29"/>
      <c r="J251" s="28"/>
      <c r="K251" s="27"/>
      <c r="L251" s="28"/>
      <c r="M251" s="29"/>
      <c r="N251" s="29"/>
      <c r="O251" s="29"/>
      <c r="P251" s="29"/>
      <c r="Q251" s="28"/>
      <c r="R251" s="32" t="s">
        <v>235</v>
      </c>
      <c r="X251" s="30" t="s">
        <v>342</v>
      </c>
      <c r="Y251" s="44">
        <v>0.85</v>
      </c>
      <c r="AA251" s="44"/>
    </row>
    <row r="252" spans="2:29" ht="15" customHeight="1" x14ac:dyDescent="0.15">
      <c r="B252" s="33" t="s">
        <v>118</v>
      </c>
      <c r="C252" s="34"/>
      <c r="E252" s="27"/>
      <c r="F252" s="28"/>
      <c r="G252" s="27"/>
      <c r="H252" s="27"/>
      <c r="I252" s="27"/>
      <c r="J252" s="28"/>
      <c r="K252" s="27"/>
      <c r="L252" s="28"/>
      <c r="M252" s="27"/>
      <c r="N252" s="27"/>
      <c r="O252" s="27"/>
      <c r="P252" s="27"/>
      <c r="Q252" s="28"/>
      <c r="R252" s="32" t="s">
        <v>236</v>
      </c>
      <c r="S252" s="33"/>
      <c r="T252" s="33"/>
      <c r="V252" s="6"/>
      <c r="X252" s="30" t="s">
        <v>342</v>
      </c>
      <c r="Y252" s="44">
        <v>0.9</v>
      </c>
      <c r="Z252" s="31"/>
      <c r="AA252" s="44"/>
      <c r="AB252" s="31"/>
    </row>
    <row r="253" spans="2:29" ht="15" customHeight="1" x14ac:dyDescent="0.15">
      <c r="B253" s="33" t="s">
        <v>119</v>
      </c>
      <c r="C253" s="34"/>
      <c r="E253" s="27"/>
      <c r="F253" s="28"/>
      <c r="G253" s="27"/>
      <c r="H253" s="27"/>
      <c r="I253" s="27"/>
      <c r="J253" s="28"/>
      <c r="K253" s="27"/>
      <c r="L253" s="28"/>
      <c r="M253" s="27"/>
      <c r="N253" s="27"/>
      <c r="O253" s="27"/>
      <c r="P253" s="27"/>
      <c r="Q253" s="28"/>
      <c r="R253" s="32" t="s">
        <v>237</v>
      </c>
      <c r="S253" s="33"/>
      <c r="T253" s="33"/>
      <c r="V253" s="6"/>
      <c r="X253" s="30" t="s">
        <v>342</v>
      </c>
      <c r="Y253" s="44">
        <v>0.95</v>
      </c>
      <c r="Z253" s="31"/>
      <c r="AA253" s="44"/>
      <c r="AB253" s="31"/>
    </row>
    <row r="254" spans="2:29" ht="15" customHeight="1" x14ac:dyDescent="0.15">
      <c r="B254" s="33" t="s">
        <v>120</v>
      </c>
      <c r="C254" s="34"/>
      <c r="E254" s="27"/>
      <c r="F254" s="28"/>
      <c r="G254" s="27"/>
      <c r="H254" s="27"/>
      <c r="I254" s="27"/>
      <c r="J254" s="28"/>
      <c r="K254" s="27"/>
      <c r="L254" s="28"/>
      <c r="M254" s="27"/>
      <c r="N254" s="27"/>
      <c r="O254" s="27"/>
      <c r="P254" s="27"/>
      <c r="Q254" s="28"/>
      <c r="R254" s="32" t="s">
        <v>238</v>
      </c>
      <c r="S254" s="33"/>
      <c r="T254" s="33"/>
      <c r="V254" s="6"/>
      <c r="X254" s="30" t="s">
        <v>342</v>
      </c>
      <c r="Y254" s="44">
        <v>1</v>
      </c>
      <c r="Z254" s="31"/>
      <c r="AA254" s="44"/>
      <c r="AB254" s="31"/>
    </row>
    <row r="255" spans="2:29" ht="15" customHeight="1" x14ac:dyDescent="0.15">
      <c r="B255" s="15" t="s">
        <v>122</v>
      </c>
      <c r="C255" s="35"/>
      <c r="D255" s="36"/>
      <c r="E255" s="37"/>
      <c r="F255" s="38"/>
      <c r="G255" s="37"/>
      <c r="H255" s="37"/>
      <c r="I255" s="37"/>
      <c r="J255" s="38"/>
      <c r="K255" s="37"/>
      <c r="L255" s="38"/>
      <c r="M255" s="37"/>
      <c r="N255" s="37"/>
      <c r="O255" s="37"/>
      <c r="P255" s="37"/>
      <c r="Q255" s="38"/>
      <c r="R255" s="39" t="s">
        <v>239</v>
      </c>
      <c r="S255" s="15"/>
      <c r="T255" s="15"/>
      <c r="U255" s="16"/>
      <c r="V255" s="40"/>
      <c r="W255" s="36"/>
      <c r="X255" s="41" t="s">
        <v>342</v>
      </c>
      <c r="Y255" s="46">
        <v>1.25</v>
      </c>
      <c r="Z255" s="45" t="s">
        <v>351</v>
      </c>
      <c r="AA255" s="49">
        <v>1</v>
      </c>
      <c r="AB255" s="45"/>
      <c r="AC255" s="49"/>
    </row>
    <row r="256" spans="2:29" ht="15" customHeight="1" x14ac:dyDescent="0.15">
      <c r="B256" s="4" t="s">
        <v>352</v>
      </c>
      <c r="C256" s="19">
        <v>8.1018518518518516E-4</v>
      </c>
      <c r="D256" s="20">
        <v>1</v>
      </c>
      <c r="E256" s="27">
        <v>10</v>
      </c>
      <c r="F256" s="28">
        <v>10</v>
      </c>
      <c r="G256" s="29">
        <v>350</v>
      </c>
      <c r="H256" s="29">
        <v>500</v>
      </c>
      <c r="I256" s="29">
        <v>200</v>
      </c>
      <c r="J256" s="28">
        <v>250</v>
      </c>
      <c r="K256" s="27">
        <v>2525</v>
      </c>
      <c r="L256" s="28">
        <v>2</v>
      </c>
      <c r="M256" s="29">
        <v>1800</v>
      </c>
      <c r="N256" s="29">
        <v>2500</v>
      </c>
      <c r="O256" s="29">
        <v>1100</v>
      </c>
      <c r="P256" s="29">
        <v>1200</v>
      </c>
      <c r="Q256" s="28">
        <v>0</v>
      </c>
      <c r="R256" s="4" t="s">
        <v>353</v>
      </c>
      <c r="X256" s="30" t="s">
        <v>354</v>
      </c>
      <c r="Y256" s="20">
        <v>5000</v>
      </c>
      <c r="Z256" s="30" t="s">
        <v>355</v>
      </c>
      <c r="AA256" s="44">
        <v>0.3</v>
      </c>
    </row>
    <row r="257" spans="2:28" ht="15" customHeight="1" x14ac:dyDescent="0.15">
      <c r="B257" s="4" t="s">
        <v>356</v>
      </c>
      <c r="C257" s="19">
        <v>1.6203703703703703E-3</v>
      </c>
      <c r="D257" s="20">
        <v>1</v>
      </c>
      <c r="E257" s="27">
        <v>25</v>
      </c>
      <c r="F257" s="28">
        <v>20</v>
      </c>
      <c r="G257" s="29">
        <v>630</v>
      </c>
      <c r="H257" s="29">
        <v>900</v>
      </c>
      <c r="I257" s="29">
        <v>360</v>
      </c>
      <c r="J257" s="28">
        <v>450</v>
      </c>
      <c r="K257" s="27">
        <v>2575</v>
      </c>
      <c r="L257" s="28">
        <v>5</v>
      </c>
      <c r="M257" s="29">
        <v>1600</v>
      </c>
      <c r="N257" s="29">
        <v>2300</v>
      </c>
      <c r="O257" s="29">
        <v>900</v>
      </c>
      <c r="P257" s="29">
        <v>1200</v>
      </c>
      <c r="Q257" s="28">
        <v>50</v>
      </c>
      <c r="R257" s="4" t="s">
        <v>353</v>
      </c>
      <c r="X257" s="30" t="s">
        <v>354</v>
      </c>
      <c r="Y257" s="20">
        <v>15000</v>
      </c>
      <c r="Z257" s="30" t="s">
        <v>355</v>
      </c>
      <c r="AA257" s="44">
        <v>0.28999999999999998</v>
      </c>
    </row>
    <row r="258" spans="2:28" ht="15" customHeight="1" x14ac:dyDescent="0.15">
      <c r="B258" s="4" t="s">
        <v>357</v>
      </c>
      <c r="C258" s="19">
        <v>3.2407407407407406E-3</v>
      </c>
      <c r="D258" s="20">
        <v>1</v>
      </c>
      <c r="E258" s="27">
        <v>50</v>
      </c>
      <c r="F258" s="28">
        <v>30</v>
      </c>
      <c r="G258" s="29">
        <v>1134</v>
      </c>
      <c r="H258" s="29">
        <v>1620</v>
      </c>
      <c r="I258" s="29">
        <v>648</v>
      </c>
      <c r="J258" s="28">
        <v>810</v>
      </c>
      <c r="K258" s="27">
        <v>2600</v>
      </c>
      <c r="L258" s="28">
        <v>10</v>
      </c>
      <c r="M258" s="29">
        <v>4800</v>
      </c>
      <c r="N258" s="29">
        <v>5200</v>
      </c>
      <c r="O258" s="29">
        <v>1100</v>
      </c>
      <c r="P258" s="29">
        <v>1400</v>
      </c>
      <c r="Q258" s="28">
        <v>200</v>
      </c>
      <c r="R258" s="4" t="s">
        <v>353</v>
      </c>
      <c r="X258" s="30" t="s">
        <v>354</v>
      </c>
      <c r="Y258" s="20">
        <v>30000</v>
      </c>
      <c r="Z258" s="30" t="s">
        <v>355</v>
      </c>
      <c r="AA258" s="44">
        <v>0.28000000000000003</v>
      </c>
    </row>
    <row r="259" spans="2:28" ht="15" customHeight="1" x14ac:dyDescent="0.15">
      <c r="B259" s="4" t="s">
        <v>358</v>
      </c>
      <c r="C259" s="19">
        <v>6.4814814814814813E-3</v>
      </c>
      <c r="D259" s="20">
        <v>1</v>
      </c>
      <c r="E259" s="27">
        <v>200</v>
      </c>
      <c r="F259" s="28">
        <v>50</v>
      </c>
      <c r="G259" s="29">
        <v>2042</v>
      </c>
      <c r="H259" s="29">
        <v>2916</v>
      </c>
      <c r="I259" s="29">
        <v>1167</v>
      </c>
      <c r="J259" s="28">
        <v>1458</v>
      </c>
      <c r="K259" s="27">
        <v>2650</v>
      </c>
      <c r="L259" s="28">
        <v>20</v>
      </c>
      <c r="M259" s="29">
        <v>2500</v>
      </c>
      <c r="N259" s="29">
        <v>3600</v>
      </c>
      <c r="O259" s="29">
        <v>1400</v>
      </c>
      <c r="P259" s="29">
        <v>1800</v>
      </c>
      <c r="Q259" s="28">
        <v>250</v>
      </c>
      <c r="R259" s="4" t="s">
        <v>57</v>
      </c>
      <c r="X259" s="30" t="s">
        <v>354</v>
      </c>
      <c r="Y259" s="20">
        <v>50000</v>
      </c>
      <c r="Z259" s="30" t="s">
        <v>355</v>
      </c>
      <c r="AA259" s="44">
        <v>0.27</v>
      </c>
    </row>
    <row r="260" spans="2:28" ht="15" customHeight="1" x14ac:dyDescent="0.15">
      <c r="B260" s="4" t="s">
        <v>359</v>
      </c>
      <c r="C260" s="19">
        <v>1.2962962962962963E-2</v>
      </c>
      <c r="D260" s="20">
        <v>70</v>
      </c>
      <c r="E260" s="27">
        <v>400</v>
      </c>
      <c r="F260" s="28">
        <v>70</v>
      </c>
      <c r="G260" s="29">
        <v>3676</v>
      </c>
      <c r="H260" s="29">
        <v>5249</v>
      </c>
      <c r="I260" s="29">
        <v>2101</v>
      </c>
      <c r="J260" s="28">
        <v>2625</v>
      </c>
      <c r="K260" s="27">
        <v>2675</v>
      </c>
      <c r="L260" s="28">
        <v>35</v>
      </c>
      <c r="M260" s="29">
        <v>9900</v>
      </c>
      <c r="N260" s="29">
        <v>7800</v>
      </c>
      <c r="O260" s="29">
        <v>4000</v>
      </c>
      <c r="P260" s="29">
        <v>2600</v>
      </c>
      <c r="Q260" s="28">
        <v>450</v>
      </c>
      <c r="R260" s="4" t="s">
        <v>57</v>
      </c>
      <c r="X260" s="30" t="s">
        <v>354</v>
      </c>
      <c r="Y260" s="20">
        <v>80000</v>
      </c>
      <c r="Z260" s="30" t="s">
        <v>355</v>
      </c>
      <c r="AA260" s="44">
        <v>0.26</v>
      </c>
    </row>
    <row r="261" spans="2:28" ht="15" customHeight="1" x14ac:dyDescent="0.15">
      <c r="B261" s="4" t="s">
        <v>360</v>
      </c>
      <c r="C261" s="19">
        <v>2.5925925925925925E-2</v>
      </c>
      <c r="D261" s="20">
        <v>130</v>
      </c>
      <c r="E261" s="27">
        <v>500</v>
      </c>
      <c r="F261" s="28">
        <v>110</v>
      </c>
      <c r="G261" s="29">
        <f>G260*2</f>
        <v>7352</v>
      </c>
      <c r="H261" s="29">
        <f>H260*2</f>
        <v>10498</v>
      </c>
      <c r="I261" s="29">
        <f>I260*2</f>
        <v>4202</v>
      </c>
      <c r="J261" s="28">
        <f>J260*2</f>
        <v>5250</v>
      </c>
      <c r="K261" s="27">
        <v>10000</v>
      </c>
      <c r="L261" s="28">
        <v>57</v>
      </c>
      <c r="M261" s="29">
        <v>6100</v>
      </c>
      <c r="N261" s="29">
        <v>8700</v>
      </c>
      <c r="O261" s="29">
        <v>3500</v>
      </c>
      <c r="P261" s="29">
        <v>4300</v>
      </c>
      <c r="Q261" s="28">
        <v>350</v>
      </c>
      <c r="R261" s="4" t="s">
        <v>361</v>
      </c>
      <c r="X261" s="30" t="s">
        <v>354</v>
      </c>
      <c r="Y261" s="20">
        <v>120000</v>
      </c>
      <c r="Z261" s="30" t="s">
        <v>355</v>
      </c>
      <c r="AA261" s="44">
        <v>0.25</v>
      </c>
    </row>
    <row r="262" spans="2:28" ht="15" customHeight="1" x14ac:dyDescent="0.15">
      <c r="B262" s="4" t="s">
        <v>362</v>
      </c>
      <c r="C262" s="19">
        <v>5.185185185185185E-2</v>
      </c>
      <c r="D262" s="20">
        <v>130</v>
      </c>
      <c r="E262" s="27">
        <v>500</v>
      </c>
      <c r="F262" s="28">
        <v>170</v>
      </c>
      <c r="G262" s="29">
        <f t="shared" ref="G262:J264" si="6">G261*2</f>
        <v>14704</v>
      </c>
      <c r="H262" s="29">
        <f t="shared" si="6"/>
        <v>20996</v>
      </c>
      <c r="I262" s="29">
        <f t="shared" si="6"/>
        <v>8404</v>
      </c>
      <c r="J262" s="28">
        <f t="shared" si="6"/>
        <v>10500</v>
      </c>
      <c r="K262" s="27">
        <v>10000</v>
      </c>
      <c r="L262" s="28">
        <v>90</v>
      </c>
      <c r="M262" s="29">
        <v>10500</v>
      </c>
      <c r="N262" s="29">
        <v>14900</v>
      </c>
      <c r="O262" s="29">
        <v>6000</v>
      </c>
      <c r="P262" s="29">
        <v>7500</v>
      </c>
      <c r="Q262" s="28">
        <v>250</v>
      </c>
      <c r="R262" s="4" t="s">
        <v>361</v>
      </c>
      <c r="X262" s="30" t="s">
        <v>354</v>
      </c>
      <c r="Y262" s="20">
        <v>160000</v>
      </c>
      <c r="Z262" s="30" t="s">
        <v>355</v>
      </c>
      <c r="AA262" s="44">
        <v>0.24</v>
      </c>
    </row>
    <row r="263" spans="2:28" ht="15" customHeight="1" x14ac:dyDescent="0.15">
      <c r="B263" s="4" t="s">
        <v>363</v>
      </c>
      <c r="C263" s="19">
        <v>0.1037037037037037</v>
      </c>
      <c r="D263" s="20">
        <v>300</v>
      </c>
      <c r="E263" s="27">
        <v>500</v>
      </c>
      <c r="F263" s="28">
        <v>250</v>
      </c>
      <c r="G263" s="29">
        <f t="shared" si="6"/>
        <v>29408</v>
      </c>
      <c r="H263" s="29">
        <f t="shared" si="6"/>
        <v>41992</v>
      </c>
      <c r="I263" s="29">
        <f t="shared" si="6"/>
        <v>16808</v>
      </c>
      <c r="J263" s="28">
        <f t="shared" si="6"/>
        <v>21000</v>
      </c>
      <c r="K263" s="27">
        <v>10000</v>
      </c>
      <c r="L263" s="28">
        <v>140</v>
      </c>
      <c r="M263" s="29">
        <v>18300</v>
      </c>
      <c r="N263" s="29">
        <v>26200</v>
      </c>
      <c r="O263" s="29">
        <v>10500</v>
      </c>
      <c r="P263" s="29">
        <v>13100</v>
      </c>
      <c r="Q263" s="28">
        <v>350</v>
      </c>
      <c r="R263" s="4" t="s">
        <v>364</v>
      </c>
      <c r="X263" s="30" t="s">
        <v>354</v>
      </c>
      <c r="Y263" s="20">
        <v>200000</v>
      </c>
      <c r="Z263" s="30" t="s">
        <v>355</v>
      </c>
      <c r="AA263" s="44">
        <v>0.23</v>
      </c>
    </row>
    <row r="264" spans="2:28" ht="15" customHeight="1" x14ac:dyDescent="0.15">
      <c r="B264" s="4" t="s">
        <v>365</v>
      </c>
      <c r="C264" s="19">
        <v>0.2074074074074074</v>
      </c>
      <c r="D264" s="20">
        <v>650</v>
      </c>
      <c r="E264" s="27">
        <v>500</v>
      </c>
      <c r="F264" s="28">
        <v>380</v>
      </c>
      <c r="G264" s="48">
        <f>G263*2</f>
        <v>58816</v>
      </c>
      <c r="H264" s="27">
        <f t="shared" si="6"/>
        <v>83984</v>
      </c>
      <c r="I264" s="27">
        <f t="shared" si="6"/>
        <v>33616</v>
      </c>
      <c r="J264" s="28">
        <f t="shared" si="6"/>
        <v>42000</v>
      </c>
      <c r="K264" s="27">
        <v>30000</v>
      </c>
      <c r="L264" s="28">
        <v>217</v>
      </c>
      <c r="M264" s="29">
        <v>32600</v>
      </c>
      <c r="N264" s="29">
        <v>46600</v>
      </c>
      <c r="O264" s="29">
        <v>18600</v>
      </c>
      <c r="P264" s="29">
        <v>23300</v>
      </c>
      <c r="Q264" s="28">
        <v>450</v>
      </c>
      <c r="R264" s="4" t="s">
        <v>67</v>
      </c>
      <c r="X264" s="30" t="s">
        <v>354</v>
      </c>
      <c r="Y264" s="20">
        <v>250000</v>
      </c>
      <c r="Z264" s="30" t="s">
        <v>355</v>
      </c>
      <c r="AA264" s="44">
        <v>0.22</v>
      </c>
    </row>
    <row r="265" spans="2:28" ht="15" customHeight="1" x14ac:dyDescent="0.15">
      <c r="B265" s="4" t="s">
        <v>366</v>
      </c>
      <c r="C265" s="19">
        <v>0.4148148148148148</v>
      </c>
      <c r="D265" s="20">
        <v>650</v>
      </c>
      <c r="E265" s="27">
        <v>500</v>
      </c>
      <c r="F265" s="28">
        <v>570</v>
      </c>
      <c r="G265" s="29">
        <v>88224</v>
      </c>
      <c r="H265" s="29">
        <v>125976</v>
      </c>
      <c r="I265" s="29">
        <v>50424</v>
      </c>
      <c r="J265" s="28">
        <v>63000</v>
      </c>
      <c r="K265" s="27">
        <v>30000</v>
      </c>
      <c r="L265" s="28">
        <v>325</v>
      </c>
      <c r="M265" s="29">
        <v>17644</v>
      </c>
      <c r="N265" s="29">
        <v>25195</v>
      </c>
      <c r="O265" s="29">
        <v>10084</v>
      </c>
      <c r="P265" s="29">
        <v>12600</v>
      </c>
      <c r="Q265" s="28">
        <v>335</v>
      </c>
      <c r="R265" s="4" t="s">
        <v>71</v>
      </c>
      <c r="X265" s="30" t="s">
        <v>354</v>
      </c>
      <c r="Y265" s="20">
        <v>300000</v>
      </c>
      <c r="Z265" s="30" t="s">
        <v>355</v>
      </c>
      <c r="AA265" s="44">
        <v>0.21</v>
      </c>
    </row>
    <row r="266" spans="2:28" ht="15" customHeight="1" x14ac:dyDescent="0.15">
      <c r="B266" s="4" t="s">
        <v>367</v>
      </c>
      <c r="E266" s="27"/>
      <c r="F266" s="28"/>
      <c r="G266" s="29"/>
      <c r="H266" s="29"/>
      <c r="I266" s="29"/>
      <c r="J266" s="28"/>
      <c r="K266" s="27"/>
      <c r="L266" s="28"/>
      <c r="M266" s="29"/>
      <c r="N266" s="29"/>
      <c r="O266" s="29"/>
      <c r="P266" s="29"/>
      <c r="Q266" s="28"/>
      <c r="X266" s="30" t="s">
        <v>354</v>
      </c>
      <c r="Y266" s="20">
        <v>400000</v>
      </c>
      <c r="Z266" s="30" t="s">
        <v>355</v>
      </c>
      <c r="AA266" s="44">
        <v>0.2</v>
      </c>
    </row>
    <row r="267" spans="2:28" ht="15" customHeight="1" x14ac:dyDescent="0.15">
      <c r="B267" s="4" t="s">
        <v>368</v>
      </c>
      <c r="E267" s="27"/>
      <c r="F267" s="28"/>
      <c r="G267" s="29"/>
      <c r="H267" s="29"/>
      <c r="I267" s="29"/>
      <c r="J267" s="28"/>
      <c r="K267" s="27"/>
      <c r="L267" s="28"/>
      <c r="M267" s="29"/>
      <c r="N267" s="29"/>
      <c r="O267" s="29"/>
      <c r="P267" s="29"/>
      <c r="Q267" s="28"/>
      <c r="X267" s="30" t="s">
        <v>354</v>
      </c>
      <c r="Y267" s="20">
        <v>500000</v>
      </c>
      <c r="Z267" s="30" t="s">
        <v>355</v>
      </c>
      <c r="AA267" s="44">
        <v>0.19</v>
      </c>
    </row>
    <row r="268" spans="2:28" ht="15" customHeight="1" x14ac:dyDescent="0.15">
      <c r="B268" s="4" t="s">
        <v>369</v>
      </c>
      <c r="E268" s="27"/>
      <c r="F268" s="28"/>
      <c r="G268" s="29"/>
      <c r="H268" s="29"/>
      <c r="I268" s="29"/>
      <c r="J268" s="28"/>
      <c r="K268" s="27"/>
      <c r="L268" s="28"/>
      <c r="M268" s="29"/>
      <c r="N268" s="29"/>
      <c r="O268" s="29"/>
      <c r="P268" s="29"/>
      <c r="Q268" s="28"/>
      <c r="X268" s="30" t="s">
        <v>354</v>
      </c>
      <c r="Y268" s="20">
        <v>750000</v>
      </c>
      <c r="Z268" s="30" t="s">
        <v>355</v>
      </c>
      <c r="AA268" s="44">
        <v>0.18</v>
      </c>
    </row>
    <row r="269" spans="2:28" ht="15" customHeight="1" x14ac:dyDescent="0.15">
      <c r="B269" s="4" t="s">
        <v>370</v>
      </c>
      <c r="E269" s="27"/>
      <c r="F269" s="28"/>
      <c r="G269" s="29"/>
      <c r="H269" s="29"/>
      <c r="I269" s="29"/>
      <c r="J269" s="28"/>
      <c r="K269" s="27"/>
      <c r="L269" s="28"/>
      <c r="M269" s="29"/>
      <c r="N269" s="29"/>
      <c r="O269" s="29"/>
      <c r="P269" s="29"/>
      <c r="Q269" s="28"/>
      <c r="X269" s="30" t="s">
        <v>354</v>
      </c>
      <c r="Y269" s="20">
        <v>1000000</v>
      </c>
      <c r="Z269" s="30" t="s">
        <v>355</v>
      </c>
      <c r="AA269" s="44">
        <v>0.17</v>
      </c>
    </row>
    <row r="270" spans="2:28" ht="15" customHeight="1" x14ac:dyDescent="0.15">
      <c r="B270" s="4" t="s">
        <v>371</v>
      </c>
      <c r="E270" s="27"/>
      <c r="F270" s="28"/>
      <c r="G270" s="29"/>
      <c r="H270" s="29"/>
      <c r="I270" s="29"/>
      <c r="J270" s="28"/>
      <c r="K270" s="27"/>
      <c r="L270" s="28"/>
      <c r="M270" s="29"/>
      <c r="N270" s="29"/>
      <c r="O270" s="29"/>
      <c r="P270" s="29"/>
      <c r="Q270" s="28"/>
      <c r="X270" s="30" t="s">
        <v>354</v>
      </c>
      <c r="Y270" s="20">
        <v>1250000</v>
      </c>
      <c r="Z270" s="30" t="s">
        <v>355</v>
      </c>
      <c r="AA270" s="44">
        <v>0.16</v>
      </c>
    </row>
    <row r="271" spans="2:28" ht="15" customHeight="1" x14ac:dyDescent="0.15">
      <c r="B271" s="33" t="s">
        <v>372</v>
      </c>
      <c r="C271" s="34"/>
      <c r="E271" s="27"/>
      <c r="F271" s="28"/>
      <c r="G271" s="27"/>
      <c r="H271" s="27"/>
      <c r="I271" s="27"/>
      <c r="J271" s="28"/>
      <c r="K271" s="27"/>
      <c r="L271" s="28"/>
      <c r="M271" s="27"/>
      <c r="N271" s="27"/>
      <c r="O271" s="27"/>
      <c r="P271" s="27"/>
      <c r="Q271" s="28"/>
      <c r="R271" s="33"/>
      <c r="S271" s="33"/>
      <c r="T271" s="33"/>
      <c r="V271" s="6"/>
      <c r="X271" s="30" t="s">
        <v>354</v>
      </c>
      <c r="Y271" s="20">
        <v>1500000</v>
      </c>
      <c r="Z271" s="30" t="s">
        <v>355</v>
      </c>
      <c r="AA271" s="44">
        <v>0.15</v>
      </c>
      <c r="AB271" s="31"/>
    </row>
    <row r="272" spans="2:28" ht="15" customHeight="1" x14ac:dyDescent="0.15">
      <c r="B272" s="33" t="s">
        <v>373</v>
      </c>
      <c r="C272" s="34"/>
      <c r="E272" s="27"/>
      <c r="F272" s="28"/>
      <c r="G272" s="27"/>
      <c r="H272" s="27"/>
      <c r="I272" s="27"/>
      <c r="J272" s="28"/>
      <c r="K272" s="27"/>
      <c r="L272" s="28"/>
      <c r="M272" s="27"/>
      <c r="N272" s="27"/>
      <c r="O272" s="27"/>
      <c r="P272" s="27"/>
      <c r="Q272" s="28"/>
      <c r="R272" s="33"/>
      <c r="S272" s="33"/>
      <c r="T272" s="33"/>
      <c r="V272" s="6"/>
      <c r="X272" s="30" t="s">
        <v>354</v>
      </c>
      <c r="Y272" s="20">
        <v>1750000</v>
      </c>
      <c r="Z272" s="30" t="s">
        <v>355</v>
      </c>
      <c r="AA272" s="44">
        <v>0.14000000000000001</v>
      </c>
      <c r="AB272" s="31"/>
    </row>
    <row r="273" spans="2:29" ht="15" customHeight="1" x14ac:dyDescent="0.15">
      <c r="B273" s="33" t="s">
        <v>374</v>
      </c>
      <c r="C273" s="34"/>
      <c r="E273" s="27"/>
      <c r="F273" s="28"/>
      <c r="G273" s="27"/>
      <c r="H273" s="27"/>
      <c r="I273" s="27"/>
      <c r="J273" s="28"/>
      <c r="K273" s="27"/>
      <c r="L273" s="28"/>
      <c r="M273" s="27"/>
      <c r="N273" s="27"/>
      <c r="O273" s="27"/>
      <c r="P273" s="27"/>
      <c r="Q273" s="28"/>
      <c r="R273" s="33"/>
      <c r="S273" s="33"/>
      <c r="T273" s="33"/>
      <c r="V273" s="6"/>
      <c r="X273" s="30" t="s">
        <v>354</v>
      </c>
      <c r="Y273" s="20">
        <v>2000000</v>
      </c>
      <c r="Z273" s="30" t="s">
        <v>355</v>
      </c>
      <c r="AA273" s="44">
        <v>0.13</v>
      </c>
      <c r="AB273" s="31"/>
    </row>
    <row r="274" spans="2:29" ht="15" customHeight="1" x14ac:dyDescent="0.15">
      <c r="B274" s="33" t="s">
        <v>375</v>
      </c>
      <c r="C274" s="34"/>
      <c r="E274" s="27"/>
      <c r="F274" s="28"/>
      <c r="G274" s="27"/>
      <c r="H274" s="27"/>
      <c r="I274" s="27"/>
      <c r="J274" s="28"/>
      <c r="K274" s="27"/>
      <c r="L274" s="28"/>
      <c r="M274" s="27"/>
      <c r="N274" s="27"/>
      <c r="O274" s="27"/>
      <c r="P274" s="27"/>
      <c r="Q274" s="28"/>
      <c r="R274" s="33"/>
      <c r="S274" s="33"/>
      <c r="T274" s="33"/>
      <c r="V274" s="6"/>
      <c r="X274" s="30" t="s">
        <v>354</v>
      </c>
      <c r="Y274" s="20">
        <v>2250000</v>
      </c>
      <c r="Z274" s="30" t="s">
        <v>355</v>
      </c>
      <c r="AA274" s="44">
        <v>0.12</v>
      </c>
      <c r="AB274" s="31"/>
    </row>
    <row r="275" spans="2:29" ht="15" customHeight="1" x14ac:dyDescent="0.15">
      <c r="B275" s="33" t="s">
        <v>376</v>
      </c>
      <c r="C275" s="34"/>
      <c r="E275" s="27"/>
      <c r="F275" s="28"/>
      <c r="G275" s="27"/>
      <c r="H275" s="27"/>
      <c r="I275" s="27"/>
      <c r="J275" s="28"/>
      <c r="K275" s="27"/>
      <c r="L275" s="28"/>
      <c r="M275" s="27"/>
      <c r="N275" s="27"/>
      <c r="O275" s="27"/>
      <c r="P275" s="27"/>
      <c r="Q275" s="28"/>
      <c r="R275" s="33"/>
      <c r="S275" s="33"/>
      <c r="T275" s="33"/>
      <c r="V275" s="6"/>
      <c r="X275" s="30" t="s">
        <v>354</v>
      </c>
      <c r="Y275" s="20">
        <v>2500000</v>
      </c>
      <c r="Z275" s="30" t="s">
        <v>355</v>
      </c>
      <c r="AA275" s="44">
        <v>0.11</v>
      </c>
      <c r="AB275" s="31"/>
    </row>
    <row r="276" spans="2:29" ht="15" customHeight="1" x14ac:dyDescent="0.15">
      <c r="B276" s="15" t="s">
        <v>377</v>
      </c>
      <c r="C276" s="35"/>
      <c r="D276" s="36"/>
      <c r="E276" s="37"/>
      <c r="F276" s="38"/>
      <c r="G276" s="37"/>
      <c r="H276" s="37"/>
      <c r="I276" s="37"/>
      <c r="J276" s="38"/>
      <c r="K276" s="37"/>
      <c r="L276" s="38"/>
      <c r="M276" s="37"/>
      <c r="N276" s="37"/>
      <c r="O276" s="37"/>
      <c r="P276" s="37"/>
      <c r="Q276" s="38"/>
      <c r="R276" s="15"/>
      <c r="S276" s="15"/>
      <c r="T276" s="15"/>
      <c r="U276" s="16"/>
      <c r="V276" s="40"/>
      <c r="W276" s="36"/>
      <c r="X276" s="41" t="s">
        <v>354</v>
      </c>
      <c r="Y276" s="36">
        <v>3000000</v>
      </c>
      <c r="Z276" s="41" t="s">
        <v>355</v>
      </c>
      <c r="AA276" s="46">
        <v>0.08</v>
      </c>
      <c r="AB276" s="45" t="s">
        <v>378</v>
      </c>
      <c r="AC276" s="46">
        <v>1</v>
      </c>
    </row>
    <row r="277" spans="2:29" ht="15" customHeight="1" x14ac:dyDescent="0.15">
      <c r="B277" s="4" t="s">
        <v>379</v>
      </c>
      <c r="C277" s="19">
        <v>8.6805555555555551E-4</v>
      </c>
      <c r="D277" s="20">
        <v>1</v>
      </c>
      <c r="E277" s="27">
        <v>10</v>
      </c>
      <c r="F277" s="28">
        <v>10</v>
      </c>
      <c r="G277" s="29">
        <v>600</v>
      </c>
      <c r="H277" s="29">
        <v>600</v>
      </c>
      <c r="I277" s="29">
        <v>300</v>
      </c>
      <c r="J277" s="28">
        <v>400</v>
      </c>
      <c r="K277" s="27">
        <v>2525</v>
      </c>
      <c r="L277" s="28">
        <v>2</v>
      </c>
      <c r="M277" s="29">
        <v>3000</v>
      </c>
      <c r="N277" s="29">
        <v>3000</v>
      </c>
      <c r="O277" s="29">
        <v>1500</v>
      </c>
      <c r="P277" s="29">
        <v>2000</v>
      </c>
      <c r="Q277" s="28">
        <v>0</v>
      </c>
      <c r="R277" s="4" t="s">
        <v>380</v>
      </c>
      <c r="X277" s="25" t="s">
        <v>381</v>
      </c>
      <c r="Y277" s="20">
        <v>5000</v>
      </c>
      <c r="Z277" s="30"/>
      <c r="AA277" s="44"/>
    </row>
    <row r="278" spans="2:29" ht="15" customHeight="1" x14ac:dyDescent="0.15">
      <c r="B278" s="4" t="s">
        <v>382</v>
      </c>
      <c r="C278" s="19">
        <v>1.736111111111111E-3</v>
      </c>
      <c r="D278" s="20">
        <v>1</v>
      </c>
      <c r="E278" s="27">
        <v>25</v>
      </c>
      <c r="F278" s="28">
        <v>25</v>
      </c>
      <c r="G278" s="29">
        <v>1020</v>
      </c>
      <c r="H278" s="29">
        <v>1020</v>
      </c>
      <c r="I278" s="29">
        <v>510</v>
      </c>
      <c r="J278" s="28">
        <v>680</v>
      </c>
      <c r="K278" s="27">
        <v>2575</v>
      </c>
      <c r="L278" s="28">
        <v>5</v>
      </c>
      <c r="M278" s="29">
        <v>2500</v>
      </c>
      <c r="N278" s="29">
        <v>2500</v>
      </c>
      <c r="O278" s="29">
        <v>1200</v>
      </c>
      <c r="P278" s="29">
        <v>1700</v>
      </c>
      <c r="Q278" s="28">
        <v>0</v>
      </c>
      <c r="R278" s="4" t="s">
        <v>380</v>
      </c>
      <c r="X278" s="30" t="s">
        <v>381</v>
      </c>
      <c r="Y278" s="20">
        <v>12500</v>
      </c>
      <c r="Z278" s="30"/>
      <c r="AA278" s="44"/>
    </row>
    <row r="279" spans="2:29" ht="15" customHeight="1" x14ac:dyDescent="0.15">
      <c r="B279" s="4" t="s">
        <v>383</v>
      </c>
      <c r="C279" s="19">
        <v>3.472222222222222E-3</v>
      </c>
      <c r="D279" s="20">
        <v>1</v>
      </c>
      <c r="E279" s="27">
        <v>50</v>
      </c>
      <c r="F279" s="28">
        <v>40</v>
      </c>
      <c r="G279" s="29">
        <v>1734</v>
      </c>
      <c r="H279" s="29">
        <v>1734</v>
      </c>
      <c r="I279" s="29">
        <v>867</v>
      </c>
      <c r="J279" s="28">
        <v>1156</v>
      </c>
      <c r="K279" s="27">
        <v>2600</v>
      </c>
      <c r="L279" s="28">
        <v>15</v>
      </c>
      <c r="M279" s="29">
        <v>2800</v>
      </c>
      <c r="N279" s="29">
        <v>2800</v>
      </c>
      <c r="O279" s="29">
        <v>1400</v>
      </c>
      <c r="P279" s="29">
        <v>1900</v>
      </c>
      <c r="Q279" s="28">
        <v>50</v>
      </c>
      <c r="R279" s="4" t="s">
        <v>380</v>
      </c>
      <c r="X279" s="30" t="s">
        <v>381</v>
      </c>
      <c r="Y279" s="20">
        <v>25000</v>
      </c>
      <c r="Z279" s="30"/>
      <c r="AA279" s="44"/>
    </row>
    <row r="280" spans="2:29" ht="15" customHeight="1" x14ac:dyDescent="0.15">
      <c r="B280" s="4" t="s">
        <v>384</v>
      </c>
      <c r="C280" s="19">
        <v>6.9444444444444441E-3</v>
      </c>
      <c r="D280" s="20">
        <v>1</v>
      </c>
      <c r="E280" s="27">
        <v>200</v>
      </c>
      <c r="F280" s="28">
        <v>60</v>
      </c>
      <c r="G280" s="29">
        <v>2948</v>
      </c>
      <c r="H280" s="29">
        <v>2948</v>
      </c>
      <c r="I280" s="29">
        <v>1474</v>
      </c>
      <c r="J280" s="28">
        <v>1966</v>
      </c>
      <c r="K280" s="27">
        <v>2650</v>
      </c>
      <c r="L280" s="28">
        <v>25</v>
      </c>
      <c r="M280" s="29">
        <v>3600</v>
      </c>
      <c r="N280" s="29">
        <v>3600</v>
      </c>
      <c r="O280" s="29">
        <v>1800</v>
      </c>
      <c r="P280" s="29">
        <v>2400</v>
      </c>
      <c r="Q280" s="28">
        <v>150</v>
      </c>
      <c r="R280" s="4" t="s">
        <v>204</v>
      </c>
      <c r="X280" s="30" t="s">
        <v>381</v>
      </c>
      <c r="Y280" s="20">
        <v>37500</v>
      </c>
      <c r="Z280" s="30"/>
      <c r="AA280" s="44"/>
    </row>
    <row r="281" spans="2:29" ht="15" customHeight="1" x14ac:dyDescent="0.15">
      <c r="B281" s="4" t="s">
        <v>385</v>
      </c>
      <c r="C281" s="19">
        <v>1.3888888888888888E-2</v>
      </c>
      <c r="D281" s="20">
        <v>1</v>
      </c>
      <c r="E281" s="27">
        <v>400</v>
      </c>
      <c r="F281" s="28">
        <v>90</v>
      </c>
      <c r="G281" s="29">
        <v>5012</v>
      </c>
      <c r="H281" s="29">
        <v>5012</v>
      </c>
      <c r="I281" s="29">
        <v>2506</v>
      </c>
      <c r="J281" s="28">
        <v>3343</v>
      </c>
      <c r="K281" s="27">
        <v>10175</v>
      </c>
      <c r="L281" s="28">
        <v>45</v>
      </c>
      <c r="M281" s="29">
        <v>5000</v>
      </c>
      <c r="N281" s="29">
        <v>5000</v>
      </c>
      <c r="O281" s="29">
        <v>2500</v>
      </c>
      <c r="P281" s="29">
        <v>3300</v>
      </c>
      <c r="Q281" s="28">
        <v>250</v>
      </c>
      <c r="R281" s="4" t="s">
        <v>204</v>
      </c>
      <c r="X281" s="30" t="s">
        <v>381</v>
      </c>
      <c r="Y281" s="20">
        <v>50000</v>
      </c>
      <c r="Z281" s="30"/>
      <c r="AA281" s="44"/>
    </row>
    <row r="282" spans="2:29" ht="15" customHeight="1" x14ac:dyDescent="0.15">
      <c r="B282" s="4" t="s">
        <v>386</v>
      </c>
      <c r="C282" s="19">
        <v>2.7777777777777776E-2</v>
      </c>
      <c r="D282" s="20">
        <v>130</v>
      </c>
      <c r="E282" s="27">
        <v>500</v>
      </c>
      <c r="F282" s="28">
        <v>135</v>
      </c>
      <c r="G282" s="29">
        <v>10024</v>
      </c>
      <c r="H282" s="29">
        <v>10024</v>
      </c>
      <c r="I282" s="29">
        <v>5012</v>
      </c>
      <c r="J282" s="28">
        <v>6686</v>
      </c>
      <c r="K282" s="27">
        <v>10000</v>
      </c>
      <c r="L282" s="28">
        <v>70</v>
      </c>
      <c r="M282" s="29">
        <v>8300</v>
      </c>
      <c r="N282" s="29">
        <v>8300</v>
      </c>
      <c r="O282" s="29">
        <v>4100</v>
      </c>
      <c r="P282" s="29">
        <v>5500</v>
      </c>
      <c r="Q282" s="28">
        <v>300</v>
      </c>
      <c r="R282" s="4" t="s">
        <v>387</v>
      </c>
      <c r="X282" s="30" t="s">
        <v>381</v>
      </c>
      <c r="Y282" s="20">
        <v>62500</v>
      </c>
      <c r="Z282" s="30"/>
      <c r="AA282" s="44"/>
    </row>
    <row r="283" spans="2:29" ht="15" customHeight="1" x14ac:dyDescent="0.15">
      <c r="B283" s="4" t="s">
        <v>388</v>
      </c>
      <c r="E283" s="27"/>
      <c r="F283" s="28"/>
      <c r="G283" s="29"/>
      <c r="H283" s="29"/>
      <c r="I283" s="29"/>
      <c r="J283" s="28"/>
      <c r="K283" s="27"/>
      <c r="L283" s="28"/>
      <c r="M283" s="29"/>
      <c r="N283" s="29"/>
      <c r="O283" s="29"/>
      <c r="P283" s="29"/>
      <c r="Q283" s="28"/>
      <c r="X283" s="30" t="s">
        <v>381</v>
      </c>
      <c r="Y283" s="20">
        <v>75000</v>
      </c>
      <c r="Z283" s="30"/>
      <c r="AA283" s="44"/>
    </row>
    <row r="284" spans="2:29" ht="15" customHeight="1" x14ac:dyDescent="0.15">
      <c r="B284" s="4" t="s">
        <v>389</v>
      </c>
      <c r="E284" s="27"/>
      <c r="F284" s="28"/>
      <c r="G284" s="29"/>
      <c r="H284" s="29"/>
      <c r="I284" s="29"/>
      <c r="J284" s="28"/>
      <c r="K284" s="27"/>
      <c r="L284" s="28"/>
      <c r="M284" s="29"/>
      <c r="N284" s="29"/>
      <c r="O284" s="29"/>
      <c r="P284" s="29"/>
      <c r="Q284" s="28"/>
      <c r="X284" s="30" t="s">
        <v>381</v>
      </c>
      <c r="Y284" s="20">
        <v>87500</v>
      </c>
      <c r="Z284" s="30"/>
      <c r="AA284" s="44"/>
    </row>
    <row r="285" spans="2:29" ht="15" customHeight="1" x14ac:dyDescent="0.15">
      <c r="B285" s="4" t="s">
        <v>390</v>
      </c>
      <c r="E285" s="27"/>
      <c r="F285" s="28"/>
      <c r="G285" s="29"/>
      <c r="H285" s="29"/>
      <c r="I285" s="29"/>
      <c r="J285" s="28"/>
      <c r="K285" s="27"/>
      <c r="L285" s="28"/>
      <c r="M285" s="29"/>
      <c r="N285" s="29"/>
      <c r="O285" s="29"/>
      <c r="P285" s="29"/>
      <c r="Q285" s="28"/>
      <c r="X285" s="30" t="s">
        <v>381</v>
      </c>
      <c r="Y285" s="20">
        <v>100000</v>
      </c>
      <c r="Z285" s="30"/>
      <c r="AA285" s="44"/>
    </row>
    <row r="286" spans="2:29" ht="15" customHeight="1" x14ac:dyDescent="0.15">
      <c r="B286" s="4" t="s">
        <v>391</v>
      </c>
      <c r="E286" s="27"/>
      <c r="F286" s="28"/>
      <c r="G286" s="29"/>
      <c r="H286" s="29"/>
      <c r="I286" s="29"/>
      <c r="J286" s="28"/>
      <c r="K286" s="27"/>
      <c r="L286" s="28"/>
      <c r="M286" s="29"/>
      <c r="N286" s="29"/>
      <c r="O286" s="29"/>
      <c r="P286" s="29"/>
      <c r="Q286" s="28"/>
      <c r="X286" s="30" t="s">
        <v>381</v>
      </c>
      <c r="Y286" s="20">
        <v>125000</v>
      </c>
      <c r="Z286" s="30"/>
      <c r="AA286" s="44"/>
    </row>
    <row r="287" spans="2:29" ht="15" customHeight="1" x14ac:dyDescent="0.15">
      <c r="B287" s="4" t="s">
        <v>392</v>
      </c>
      <c r="E287" s="27"/>
      <c r="F287" s="28"/>
      <c r="G287" s="29"/>
      <c r="H287" s="29"/>
      <c r="I287" s="29"/>
      <c r="J287" s="28"/>
      <c r="K287" s="27"/>
      <c r="L287" s="28"/>
      <c r="M287" s="29"/>
      <c r="N287" s="29"/>
      <c r="O287" s="29"/>
      <c r="P287" s="29"/>
      <c r="Q287" s="28"/>
      <c r="X287" s="30" t="s">
        <v>381</v>
      </c>
      <c r="Y287" s="20">
        <v>150000</v>
      </c>
      <c r="Z287" s="30"/>
      <c r="AA287" s="44"/>
    </row>
    <row r="288" spans="2:29" ht="15" customHeight="1" x14ac:dyDescent="0.15">
      <c r="B288" s="4" t="s">
        <v>393</v>
      </c>
      <c r="E288" s="27"/>
      <c r="F288" s="28"/>
      <c r="G288" s="29"/>
      <c r="H288" s="29"/>
      <c r="I288" s="29"/>
      <c r="J288" s="28"/>
      <c r="K288" s="27"/>
      <c r="L288" s="28"/>
      <c r="M288" s="29"/>
      <c r="N288" s="29"/>
      <c r="O288" s="29"/>
      <c r="P288" s="29"/>
      <c r="Q288" s="28"/>
      <c r="X288" s="30" t="s">
        <v>381</v>
      </c>
      <c r="Y288" s="20">
        <v>175000</v>
      </c>
      <c r="Z288" s="30"/>
      <c r="AA288" s="44"/>
    </row>
    <row r="289" spans="2:29" ht="15" customHeight="1" x14ac:dyDescent="0.15">
      <c r="B289" s="4" t="s">
        <v>394</v>
      </c>
      <c r="E289" s="27"/>
      <c r="F289" s="28"/>
      <c r="G289" s="29"/>
      <c r="H289" s="29"/>
      <c r="I289" s="29"/>
      <c r="J289" s="28"/>
      <c r="K289" s="27"/>
      <c r="L289" s="28"/>
      <c r="M289" s="29"/>
      <c r="N289" s="29"/>
      <c r="O289" s="29"/>
      <c r="P289" s="29"/>
      <c r="Q289" s="28"/>
      <c r="X289" s="30" t="s">
        <v>381</v>
      </c>
      <c r="Y289" s="20">
        <v>200000</v>
      </c>
      <c r="Z289" s="30"/>
      <c r="AA289" s="44"/>
    </row>
    <row r="290" spans="2:29" ht="15" customHeight="1" x14ac:dyDescent="0.15">
      <c r="B290" s="4" t="s">
        <v>395</v>
      </c>
      <c r="E290" s="27"/>
      <c r="F290" s="28"/>
      <c r="G290" s="29"/>
      <c r="H290" s="29"/>
      <c r="I290" s="29"/>
      <c r="J290" s="28"/>
      <c r="K290" s="27"/>
      <c r="L290" s="28"/>
      <c r="M290" s="29"/>
      <c r="N290" s="29"/>
      <c r="O290" s="29"/>
      <c r="P290" s="29"/>
      <c r="Q290" s="28"/>
      <c r="X290" s="30" t="s">
        <v>381</v>
      </c>
      <c r="Y290" s="20">
        <v>225000</v>
      </c>
      <c r="Z290" s="30"/>
      <c r="AA290" s="44"/>
    </row>
    <row r="291" spans="2:29" ht="15" customHeight="1" x14ac:dyDescent="0.15">
      <c r="B291" s="4" t="s">
        <v>396</v>
      </c>
      <c r="E291" s="27"/>
      <c r="F291" s="28"/>
      <c r="G291" s="29"/>
      <c r="H291" s="29"/>
      <c r="I291" s="29"/>
      <c r="J291" s="28"/>
      <c r="K291" s="27"/>
      <c r="L291" s="28"/>
      <c r="M291" s="29"/>
      <c r="N291" s="29"/>
      <c r="O291" s="29"/>
      <c r="P291" s="29"/>
      <c r="Q291" s="28"/>
      <c r="X291" s="30" t="s">
        <v>381</v>
      </c>
      <c r="Y291" s="20">
        <v>250000</v>
      </c>
      <c r="Z291" s="30"/>
      <c r="AA291" s="44"/>
    </row>
    <row r="292" spans="2:29" ht="15" customHeight="1" x14ac:dyDescent="0.15">
      <c r="B292" s="33" t="s">
        <v>397</v>
      </c>
      <c r="C292" s="34"/>
      <c r="E292" s="27"/>
      <c r="F292" s="28"/>
      <c r="G292" s="27"/>
      <c r="H292" s="27"/>
      <c r="I292" s="27"/>
      <c r="J292" s="28"/>
      <c r="K292" s="27"/>
      <c r="L292" s="28"/>
      <c r="M292" s="27"/>
      <c r="N292" s="27"/>
      <c r="O292" s="27"/>
      <c r="P292" s="27"/>
      <c r="Q292" s="28"/>
      <c r="R292" s="33"/>
      <c r="S292" s="33"/>
      <c r="T292" s="33"/>
      <c r="V292" s="6"/>
      <c r="X292" s="30" t="s">
        <v>381</v>
      </c>
      <c r="Y292" s="20">
        <v>300000</v>
      </c>
      <c r="Z292" s="30"/>
      <c r="AA292" s="44"/>
      <c r="AB292" s="31"/>
    </row>
    <row r="293" spans="2:29" ht="15" customHeight="1" x14ac:dyDescent="0.15">
      <c r="B293" s="33" t="s">
        <v>398</v>
      </c>
      <c r="C293" s="34"/>
      <c r="E293" s="27"/>
      <c r="F293" s="28"/>
      <c r="G293" s="27"/>
      <c r="H293" s="27"/>
      <c r="I293" s="27"/>
      <c r="J293" s="28"/>
      <c r="K293" s="27"/>
      <c r="L293" s="28"/>
      <c r="M293" s="27"/>
      <c r="N293" s="27"/>
      <c r="O293" s="27"/>
      <c r="P293" s="27"/>
      <c r="Q293" s="28"/>
      <c r="R293" s="33"/>
      <c r="S293" s="33"/>
      <c r="T293" s="33"/>
      <c r="V293" s="6"/>
      <c r="X293" s="30" t="s">
        <v>381</v>
      </c>
      <c r="Y293" s="20">
        <v>350000</v>
      </c>
      <c r="Z293" s="30"/>
      <c r="AA293" s="44"/>
      <c r="AB293" s="31"/>
    </row>
    <row r="294" spans="2:29" ht="15" customHeight="1" x14ac:dyDescent="0.15">
      <c r="B294" s="33" t="s">
        <v>399</v>
      </c>
      <c r="C294" s="34"/>
      <c r="E294" s="27"/>
      <c r="F294" s="28"/>
      <c r="G294" s="27"/>
      <c r="H294" s="27"/>
      <c r="I294" s="27"/>
      <c r="J294" s="28"/>
      <c r="K294" s="27"/>
      <c r="L294" s="28"/>
      <c r="M294" s="27"/>
      <c r="N294" s="27"/>
      <c r="O294" s="27"/>
      <c r="P294" s="27"/>
      <c r="Q294" s="28"/>
      <c r="R294" s="33"/>
      <c r="S294" s="33"/>
      <c r="T294" s="33"/>
      <c r="V294" s="6"/>
      <c r="X294" s="30" t="s">
        <v>381</v>
      </c>
      <c r="Y294" s="20">
        <v>400000</v>
      </c>
      <c r="Z294" s="30"/>
      <c r="AA294" s="44"/>
      <c r="AB294" s="31"/>
    </row>
    <row r="295" spans="2:29" ht="15" customHeight="1" x14ac:dyDescent="0.15">
      <c r="B295" s="33" t="s">
        <v>400</v>
      </c>
      <c r="C295" s="34"/>
      <c r="E295" s="27"/>
      <c r="F295" s="28"/>
      <c r="G295" s="27"/>
      <c r="H295" s="27"/>
      <c r="I295" s="27"/>
      <c r="J295" s="28"/>
      <c r="K295" s="27"/>
      <c r="L295" s="28"/>
      <c r="M295" s="27"/>
      <c r="N295" s="27"/>
      <c r="O295" s="27"/>
      <c r="P295" s="27"/>
      <c r="Q295" s="28"/>
      <c r="R295" s="33"/>
      <c r="S295" s="33"/>
      <c r="T295" s="33"/>
      <c r="V295" s="6"/>
      <c r="X295" s="30" t="s">
        <v>381</v>
      </c>
      <c r="Y295" s="20">
        <v>450000</v>
      </c>
      <c r="Z295" s="30"/>
      <c r="AA295" s="44"/>
      <c r="AB295" s="31"/>
    </row>
    <row r="296" spans="2:29" ht="15" customHeight="1" x14ac:dyDescent="0.15">
      <c r="B296" s="33" t="s">
        <v>401</v>
      </c>
      <c r="C296" s="34"/>
      <c r="E296" s="27"/>
      <c r="F296" s="28"/>
      <c r="G296" s="27"/>
      <c r="H296" s="27"/>
      <c r="I296" s="27"/>
      <c r="J296" s="28"/>
      <c r="K296" s="27"/>
      <c r="L296" s="28"/>
      <c r="M296" s="27"/>
      <c r="N296" s="27"/>
      <c r="O296" s="27"/>
      <c r="P296" s="27"/>
      <c r="Q296" s="28"/>
      <c r="R296" s="33"/>
      <c r="S296" s="33"/>
      <c r="T296" s="33"/>
      <c r="V296" s="6"/>
      <c r="X296" s="30" t="s">
        <v>381</v>
      </c>
      <c r="Y296" s="20">
        <v>500000</v>
      </c>
      <c r="Z296" s="30"/>
      <c r="AA296" s="44"/>
      <c r="AB296" s="31"/>
    </row>
    <row r="297" spans="2:29" ht="15" customHeight="1" x14ac:dyDescent="0.15">
      <c r="B297" s="15" t="s">
        <v>402</v>
      </c>
      <c r="C297" s="35"/>
      <c r="D297" s="36"/>
      <c r="E297" s="37"/>
      <c r="F297" s="38"/>
      <c r="G297" s="37"/>
      <c r="H297" s="37"/>
      <c r="I297" s="37"/>
      <c r="J297" s="38"/>
      <c r="K297" s="37"/>
      <c r="L297" s="38"/>
      <c r="M297" s="37"/>
      <c r="N297" s="37"/>
      <c r="O297" s="37"/>
      <c r="P297" s="37"/>
      <c r="Q297" s="38"/>
      <c r="R297" s="15"/>
      <c r="S297" s="15"/>
      <c r="T297" s="15"/>
      <c r="U297" s="16"/>
      <c r="V297" s="40"/>
      <c r="W297" s="36"/>
      <c r="X297" s="41" t="s">
        <v>381</v>
      </c>
      <c r="Y297" s="36">
        <v>1000000</v>
      </c>
      <c r="Z297" s="41" t="s">
        <v>403</v>
      </c>
      <c r="AA297" s="46">
        <v>0.1</v>
      </c>
      <c r="AB297" s="45"/>
      <c r="AC297" s="46"/>
    </row>
    <row r="298" spans="2:29" ht="15" customHeight="1" x14ac:dyDescent="0.15">
      <c r="B298" s="4" t="s">
        <v>404</v>
      </c>
      <c r="C298" s="19">
        <v>1.3310185185185185E-3</v>
      </c>
      <c r="D298" s="20">
        <v>1</v>
      </c>
      <c r="E298" s="27">
        <v>10</v>
      </c>
      <c r="F298" s="28">
        <v>35</v>
      </c>
      <c r="G298" s="29">
        <v>100</v>
      </c>
      <c r="H298" s="29">
        <v>100</v>
      </c>
      <c r="I298" s="29">
        <v>100</v>
      </c>
      <c r="J298" s="28">
        <v>100</v>
      </c>
      <c r="K298" s="27">
        <v>2525</v>
      </c>
      <c r="L298" s="28">
        <v>5</v>
      </c>
      <c r="M298" s="29">
        <v>1000</v>
      </c>
      <c r="N298" s="29">
        <v>1000</v>
      </c>
      <c r="O298" s="29">
        <v>1000</v>
      </c>
      <c r="P298" s="29">
        <v>1000</v>
      </c>
      <c r="Q298" s="28">
        <v>50</v>
      </c>
      <c r="R298" s="4" t="s">
        <v>405</v>
      </c>
      <c r="T298" s="4" t="s">
        <v>406</v>
      </c>
      <c r="X298" s="25" t="s">
        <v>407</v>
      </c>
      <c r="Y298" s="20">
        <v>25000</v>
      </c>
      <c r="Z298" s="30"/>
      <c r="AA298" s="44"/>
    </row>
    <row r="299" spans="2:29" ht="15" customHeight="1" x14ac:dyDescent="0.15">
      <c r="B299" s="4" t="s">
        <v>408</v>
      </c>
      <c r="C299" s="19">
        <v>2.6620370370370374E-3</v>
      </c>
      <c r="D299" s="20">
        <v>1</v>
      </c>
      <c r="E299" s="27">
        <v>25</v>
      </c>
      <c r="F299" s="28">
        <v>70</v>
      </c>
      <c r="G299" s="29">
        <v>190</v>
      </c>
      <c r="H299" s="29">
        <v>190</v>
      </c>
      <c r="I299" s="29">
        <v>190</v>
      </c>
      <c r="J299" s="28">
        <v>190</v>
      </c>
      <c r="K299" s="27">
        <v>2575</v>
      </c>
      <c r="L299" s="28">
        <v>20</v>
      </c>
      <c r="M299" s="29">
        <v>400</v>
      </c>
      <c r="N299" s="29">
        <v>400</v>
      </c>
      <c r="O299" s="29">
        <v>400</v>
      </c>
      <c r="P299" s="29">
        <v>400</v>
      </c>
      <c r="Q299" s="28">
        <v>100</v>
      </c>
      <c r="R299" s="32" t="s">
        <v>382</v>
      </c>
      <c r="T299" s="4" t="s">
        <v>409</v>
      </c>
      <c r="X299" s="30" t="s">
        <v>407</v>
      </c>
      <c r="Y299" s="20">
        <v>40000</v>
      </c>
      <c r="Z299" s="30"/>
      <c r="AA299" s="44"/>
    </row>
    <row r="300" spans="2:29" ht="15" customHeight="1" x14ac:dyDescent="0.15">
      <c r="B300" s="4" t="s">
        <v>410</v>
      </c>
      <c r="C300" s="19">
        <v>5.3240740740740748E-3</v>
      </c>
      <c r="D300" s="20">
        <v>1</v>
      </c>
      <c r="E300" s="27">
        <v>50</v>
      </c>
      <c r="F300" s="28">
        <v>105</v>
      </c>
      <c r="G300" s="29">
        <v>361</v>
      </c>
      <c r="H300" s="29">
        <v>361</v>
      </c>
      <c r="I300" s="29">
        <v>361</v>
      </c>
      <c r="J300" s="28">
        <v>361</v>
      </c>
      <c r="K300" s="27">
        <v>2600</v>
      </c>
      <c r="L300" s="28">
        <v>40</v>
      </c>
      <c r="M300" s="29">
        <v>240</v>
      </c>
      <c r="N300" s="29">
        <v>240</v>
      </c>
      <c r="O300" s="29">
        <v>240</v>
      </c>
      <c r="P300" s="29">
        <v>240</v>
      </c>
      <c r="Q300" s="29">
        <v>60</v>
      </c>
      <c r="R300" s="32" t="s">
        <v>383</v>
      </c>
      <c r="T300" s="4" t="s">
        <v>411</v>
      </c>
      <c r="X300" s="30" t="s">
        <v>407</v>
      </c>
      <c r="Y300" s="20">
        <v>80000</v>
      </c>
      <c r="Z300" s="30"/>
      <c r="AA300" s="44"/>
    </row>
    <row r="301" spans="2:29" ht="15" customHeight="1" x14ac:dyDescent="0.15">
      <c r="B301" s="4" t="s">
        <v>412</v>
      </c>
      <c r="E301" s="27"/>
      <c r="F301" s="28"/>
      <c r="G301" s="29"/>
      <c r="H301" s="29"/>
      <c r="I301" s="29"/>
      <c r="J301" s="28"/>
      <c r="K301" s="27"/>
      <c r="L301" s="28"/>
      <c r="M301" s="29"/>
      <c r="N301" s="29"/>
      <c r="O301" s="29"/>
      <c r="P301" s="29"/>
      <c r="Q301" s="28"/>
      <c r="R301" s="32" t="s">
        <v>384</v>
      </c>
      <c r="T301" s="4" t="s">
        <v>413</v>
      </c>
      <c r="X301" s="30" t="s">
        <v>407</v>
      </c>
      <c r="Y301" s="20">
        <v>120000</v>
      </c>
      <c r="Z301" s="30"/>
      <c r="AA301" s="44"/>
    </row>
    <row r="302" spans="2:29" ht="15" customHeight="1" x14ac:dyDescent="0.15">
      <c r="B302" s="4" t="s">
        <v>414</v>
      </c>
      <c r="E302" s="27"/>
      <c r="F302" s="28"/>
      <c r="G302" s="29"/>
      <c r="H302" s="29"/>
      <c r="I302" s="29"/>
      <c r="J302" s="28"/>
      <c r="K302" s="27"/>
      <c r="L302" s="28"/>
      <c r="M302" s="29"/>
      <c r="N302" s="29"/>
      <c r="O302" s="29"/>
      <c r="P302" s="29"/>
      <c r="Q302" s="28"/>
      <c r="R302" s="32" t="s">
        <v>385</v>
      </c>
      <c r="X302" s="30" t="s">
        <v>407</v>
      </c>
      <c r="Y302" s="20">
        <v>160000</v>
      </c>
      <c r="Z302" s="30"/>
      <c r="AA302" s="44"/>
    </row>
    <row r="303" spans="2:29" ht="15" customHeight="1" x14ac:dyDescent="0.15">
      <c r="B303" s="4" t="s">
        <v>415</v>
      </c>
      <c r="E303" s="27"/>
      <c r="F303" s="28"/>
      <c r="G303" s="29"/>
      <c r="H303" s="29"/>
      <c r="I303" s="29"/>
      <c r="J303" s="28"/>
      <c r="K303" s="27"/>
      <c r="L303" s="28"/>
      <c r="M303" s="29"/>
      <c r="N303" s="29"/>
      <c r="O303" s="29"/>
      <c r="P303" s="29"/>
      <c r="Q303" s="28"/>
      <c r="R303" s="32" t="s">
        <v>386</v>
      </c>
      <c r="X303" s="30" t="s">
        <v>407</v>
      </c>
      <c r="Y303" s="20">
        <v>200000</v>
      </c>
      <c r="Z303" s="30"/>
      <c r="AA303" s="44"/>
    </row>
    <row r="304" spans="2:29" ht="15" customHeight="1" x14ac:dyDescent="0.15">
      <c r="B304" s="4" t="s">
        <v>416</v>
      </c>
      <c r="E304" s="27"/>
      <c r="F304" s="28"/>
      <c r="G304" s="29"/>
      <c r="H304" s="29"/>
      <c r="I304" s="29"/>
      <c r="J304" s="28"/>
      <c r="K304" s="27"/>
      <c r="L304" s="28"/>
      <c r="M304" s="29"/>
      <c r="N304" s="29"/>
      <c r="O304" s="29"/>
      <c r="P304" s="29"/>
      <c r="Q304" s="28"/>
      <c r="R304" s="32" t="s">
        <v>388</v>
      </c>
      <c r="X304" s="30" t="s">
        <v>407</v>
      </c>
      <c r="Y304" s="20">
        <v>250000</v>
      </c>
      <c r="Z304" s="30"/>
      <c r="AA304" s="44"/>
    </row>
    <row r="305" spans="2:29" ht="15" customHeight="1" x14ac:dyDescent="0.15">
      <c r="B305" s="4" t="s">
        <v>417</v>
      </c>
      <c r="E305" s="27"/>
      <c r="F305" s="28"/>
      <c r="G305" s="29"/>
      <c r="H305" s="29"/>
      <c r="I305" s="29"/>
      <c r="J305" s="28"/>
      <c r="K305" s="27"/>
      <c r="L305" s="28"/>
      <c r="M305" s="29"/>
      <c r="N305" s="29"/>
      <c r="O305" s="29"/>
      <c r="P305" s="29"/>
      <c r="Q305" s="28"/>
      <c r="R305" s="32" t="s">
        <v>389</v>
      </c>
      <c r="X305" s="30" t="s">
        <v>407</v>
      </c>
      <c r="Y305" s="20">
        <v>300000</v>
      </c>
      <c r="Z305" s="30"/>
      <c r="AA305" s="44"/>
    </row>
    <row r="306" spans="2:29" ht="15" customHeight="1" x14ac:dyDescent="0.15">
      <c r="B306" s="4" t="s">
        <v>418</v>
      </c>
      <c r="E306" s="27"/>
      <c r="F306" s="28"/>
      <c r="G306" s="29"/>
      <c r="H306" s="29"/>
      <c r="I306" s="29"/>
      <c r="J306" s="28"/>
      <c r="K306" s="27"/>
      <c r="L306" s="28"/>
      <c r="M306" s="29"/>
      <c r="N306" s="29"/>
      <c r="O306" s="29"/>
      <c r="P306" s="29"/>
      <c r="Q306" s="28"/>
      <c r="R306" s="32" t="s">
        <v>390</v>
      </c>
      <c r="X306" s="30" t="s">
        <v>407</v>
      </c>
      <c r="Y306" s="20">
        <v>350000</v>
      </c>
      <c r="Z306" s="30"/>
      <c r="AA306" s="44"/>
    </row>
    <row r="307" spans="2:29" ht="15" customHeight="1" x14ac:dyDescent="0.15">
      <c r="B307" s="4" t="s">
        <v>419</v>
      </c>
      <c r="E307" s="27"/>
      <c r="F307" s="28"/>
      <c r="G307" s="29"/>
      <c r="H307" s="29"/>
      <c r="I307" s="29"/>
      <c r="J307" s="28"/>
      <c r="K307" s="27"/>
      <c r="L307" s="28"/>
      <c r="M307" s="29"/>
      <c r="N307" s="29"/>
      <c r="O307" s="29"/>
      <c r="P307" s="29"/>
      <c r="Q307" s="28"/>
      <c r="R307" s="32" t="s">
        <v>391</v>
      </c>
      <c r="X307" s="30" t="s">
        <v>407</v>
      </c>
      <c r="Y307" s="20">
        <v>400000</v>
      </c>
      <c r="Z307" s="30"/>
      <c r="AA307" s="44"/>
    </row>
    <row r="308" spans="2:29" ht="15" customHeight="1" x14ac:dyDescent="0.15">
      <c r="B308" s="4" t="s">
        <v>420</v>
      </c>
      <c r="E308" s="27"/>
      <c r="F308" s="28"/>
      <c r="G308" s="29"/>
      <c r="H308" s="29"/>
      <c r="I308" s="29"/>
      <c r="J308" s="28"/>
      <c r="K308" s="27"/>
      <c r="L308" s="28"/>
      <c r="M308" s="29"/>
      <c r="N308" s="29"/>
      <c r="O308" s="29"/>
      <c r="P308" s="29"/>
      <c r="Q308" s="28"/>
      <c r="R308" s="32" t="s">
        <v>392</v>
      </c>
      <c r="X308" s="30" t="s">
        <v>407</v>
      </c>
      <c r="Y308" s="20">
        <v>450000</v>
      </c>
      <c r="Z308" s="30"/>
      <c r="AA308" s="44"/>
    </row>
    <row r="309" spans="2:29" ht="15" customHeight="1" x14ac:dyDescent="0.15">
      <c r="B309" s="4" t="s">
        <v>421</v>
      </c>
      <c r="E309" s="27"/>
      <c r="F309" s="28"/>
      <c r="G309" s="29"/>
      <c r="H309" s="29"/>
      <c r="I309" s="29"/>
      <c r="J309" s="28"/>
      <c r="K309" s="27"/>
      <c r="L309" s="28"/>
      <c r="M309" s="29"/>
      <c r="N309" s="29"/>
      <c r="O309" s="29"/>
      <c r="P309" s="29"/>
      <c r="Q309" s="28"/>
      <c r="R309" s="32" t="s">
        <v>393</v>
      </c>
      <c r="X309" s="30" t="s">
        <v>407</v>
      </c>
      <c r="Y309" s="20">
        <v>500000</v>
      </c>
      <c r="Z309" s="30"/>
      <c r="AA309" s="44"/>
    </row>
    <row r="310" spans="2:29" ht="15" customHeight="1" x14ac:dyDescent="0.15">
      <c r="B310" s="4" t="s">
        <v>422</v>
      </c>
      <c r="E310" s="27"/>
      <c r="F310" s="28"/>
      <c r="G310" s="29"/>
      <c r="H310" s="29"/>
      <c r="I310" s="29"/>
      <c r="J310" s="28"/>
      <c r="K310" s="27"/>
      <c r="L310" s="28"/>
      <c r="M310" s="29"/>
      <c r="N310" s="29"/>
      <c r="O310" s="29"/>
      <c r="P310" s="29"/>
      <c r="Q310" s="28"/>
      <c r="R310" s="32" t="s">
        <v>394</v>
      </c>
      <c r="X310" s="30" t="s">
        <v>407</v>
      </c>
      <c r="Y310" s="20">
        <v>550000</v>
      </c>
      <c r="Z310" s="30"/>
      <c r="AA310" s="44"/>
    </row>
    <row r="311" spans="2:29" ht="15" customHeight="1" x14ac:dyDescent="0.15">
      <c r="B311" s="4" t="s">
        <v>423</v>
      </c>
      <c r="E311" s="27"/>
      <c r="F311" s="28"/>
      <c r="G311" s="29"/>
      <c r="H311" s="29"/>
      <c r="I311" s="29"/>
      <c r="J311" s="28"/>
      <c r="K311" s="27"/>
      <c r="L311" s="28"/>
      <c r="M311" s="29"/>
      <c r="N311" s="29"/>
      <c r="O311" s="29"/>
      <c r="P311" s="29"/>
      <c r="Q311" s="28"/>
      <c r="R311" s="32" t="s">
        <v>395</v>
      </c>
      <c r="X311" s="30" t="s">
        <v>407</v>
      </c>
      <c r="Y311" s="20">
        <v>600000</v>
      </c>
      <c r="Z311" s="30"/>
      <c r="AA311" s="44"/>
    </row>
    <row r="312" spans="2:29" ht="15" customHeight="1" x14ac:dyDescent="0.15">
      <c r="B312" s="4" t="s">
        <v>424</v>
      </c>
      <c r="E312" s="27"/>
      <c r="F312" s="28"/>
      <c r="G312" s="29"/>
      <c r="H312" s="29"/>
      <c r="I312" s="29"/>
      <c r="J312" s="28"/>
      <c r="K312" s="27"/>
      <c r="L312" s="28"/>
      <c r="M312" s="29"/>
      <c r="N312" s="29"/>
      <c r="O312" s="29"/>
      <c r="P312" s="29"/>
      <c r="Q312" s="28"/>
      <c r="R312" s="32" t="s">
        <v>396</v>
      </c>
      <c r="X312" s="30" t="s">
        <v>407</v>
      </c>
      <c r="Y312" s="20">
        <v>700000</v>
      </c>
      <c r="Z312" s="30"/>
      <c r="AA312" s="44"/>
    </row>
    <row r="313" spans="2:29" ht="15" customHeight="1" x14ac:dyDescent="0.15">
      <c r="B313" s="33" t="s">
        <v>425</v>
      </c>
      <c r="C313" s="34"/>
      <c r="E313" s="27"/>
      <c r="F313" s="28"/>
      <c r="G313" s="27"/>
      <c r="H313" s="27"/>
      <c r="I313" s="27"/>
      <c r="J313" s="28"/>
      <c r="K313" s="27"/>
      <c r="L313" s="28"/>
      <c r="M313" s="27"/>
      <c r="N313" s="27"/>
      <c r="O313" s="27"/>
      <c r="P313" s="27"/>
      <c r="Q313" s="28"/>
      <c r="R313" s="32" t="s">
        <v>397</v>
      </c>
      <c r="S313" s="33"/>
      <c r="T313" s="33"/>
      <c r="V313" s="6"/>
      <c r="X313" s="30" t="s">
        <v>407</v>
      </c>
      <c r="Y313" s="20">
        <v>800000</v>
      </c>
      <c r="Z313" s="30"/>
      <c r="AA313" s="44"/>
      <c r="AB313" s="31"/>
    </row>
    <row r="314" spans="2:29" ht="15" customHeight="1" x14ac:dyDescent="0.15">
      <c r="B314" s="33" t="s">
        <v>426</v>
      </c>
      <c r="C314" s="34"/>
      <c r="E314" s="27"/>
      <c r="F314" s="28"/>
      <c r="G314" s="27"/>
      <c r="H314" s="27"/>
      <c r="I314" s="27"/>
      <c r="J314" s="28"/>
      <c r="K314" s="27"/>
      <c r="L314" s="28"/>
      <c r="M314" s="27"/>
      <c r="N314" s="27"/>
      <c r="O314" s="27"/>
      <c r="P314" s="27"/>
      <c r="Q314" s="28"/>
      <c r="R314" s="32" t="s">
        <v>398</v>
      </c>
      <c r="S314" s="33"/>
      <c r="T314" s="33"/>
      <c r="V314" s="6"/>
      <c r="X314" s="30" t="s">
        <v>407</v>
      </c>
      <c r="Y314" s="20">
        <v>900000</v>
      </c>
      <c r="Z314" s="30"/>
      <c r="AA314" s="44"/>
      <c r="AB314" s="31"/>
    </row>
    <row r="315" spans="2:29" ht="15" customHeight="1" x14ac:dyDescent="0.15">
      <c r="B315" s="33" t="s">
        <v>427</v>
      </c>
      <c r="C315" s="34"/>
      <c r="E315" s="27"/>
      <c r="F315" s="28"/>
      <c r="G315" s="27"/>
      <c r="H315" s="27"/>
      <c r="I315" s="27"/>
      <c r="J315" s="28"/>
      <c r="K315" s="27"/>
      <c r="L315" s="28"/>
      <c r="M315" s="27"/>
      <c r="N315" s="27"/>
      <c r="O315" s="27"/>
      <c r="P315" s="27"/>
      <c r="Q315" s="28"/>
      <c r="R315" s="32" t="s">
        <v>399</v>
      </c>
      <c r="S315" s="33"/>
      <c r="T315" s="33"/>
      <c r="V315" s="6"/>
      <c r="X315" s="30" t="s">
        <v>407</v>
      </c>
      <c r="Y315" s="20">
        <v>1000000</v>
      </c>
      <c r="Z315" s="30"/>
      <c r="AA315" s="44"/>
      <c r="AB315" s="31"/>
    </row>
    <row r="316" spans="2:29" ht="15" customHeight="1" x14ac:dyDescent="0.15">
      <c r="B316" s="33" t="s">
        <v>428</v>
      </c>
      <c r="C316" s="34"/>
      <c r="E316" s="27"/>
      <c r="F316" s="28"/>
      <c r="G316" s="27"/>
      <c r="H316" s="27"/>
      <c r="I316" s="27"/>
      <c r="J316" s="28"/>
      <c r="K316" s="27"/>
      <c r="L316" s="28"/>
      <c r="M316" s="27"/>
      <c r="N316" s="27"/>
      <c r="O316" s="27"/>
      <c r="P316" s="27"/>
      <c r="Q316" s="28"/>
      <c r="R316" s="32" t="s">
        <v>400</v>
      </c>
      <c r="S316" s="33"/>
      <c r="T316" s="33"/>
      <c r="V316" s="6"/>
      <c r="X316" s="30" t="s">
        <v>407</v>
      </c>
      <c r="Y316" s="20">
        <v>1250000</v>
      </c>
      <c r="Z316" s="30"/>
      <c r="AA316" s="44"/>
      <c r="AB316" s="31"/>
    </row>
    <row r="317" spans="2:29" ht="15" customHeight="1" x14ac:dyDescent="0.15">
      <c r="B317" s="33" t="s">
        <v>429</v>
      </c>
      <c r="C317" s="34"/>
      <c r="E317" s="27"/>
      <c r="F317" s="28"/>
      <c r="G317" s="27"/>
      <c r="H317" s="27"/>
      <c r="I317" s="27"/>
      <c r="J317" s="28"/>
      <c r="K317" s="27"/>
      <c r="L317" s="28"/>
      <c r="M317" s="27"/>
      <c r="N317" s="27"/>
      <c r="O317" s="27"/>
      <c r="P317" s="27"/>
      <c r="Q317" s="28"/>
      <c r="R317" s="32" t="s">
        <v>401</v>
      </c>
      <c r="S317" s="33"/>
      <c r="T317" s="33"/>
      <c r="V317" s="6"/>
      <c r="X317" s="30" t="s">
        <v>407</v>
      </c>
      <c r="Y317" s="20">
        <v>1500000</v>
      </c>
      <c r="Z317" s="30"/>
      <c r="AA317" s="44"/>
      <c r="AB317" s="31"/>
    </row>
    <row r="318" spans="2:29" ht="15" customHeight="1" x14ac:dyDescent="0.15">
      <c r="B318" s="15" t="s">
        <v>430</v>
      </c>
      <c r="C318" s="35"/>
      <c r="D318" s="36"/>
      <c r="E318" s="37"/>
      <c r="F318" s="38"/>
      <c r="G318" s="37"/>
      <c r="H318" s="37"/>
      <c r="I318" s="37"/>
      <c r="J318" s="38"/>
      <c r="K318" s="37"/>
      <c r="L318" s="38"/>
      <c r="M318" s="37"/>
      <c r="N318" s="37"/>
      <c r="O318" s="37"/>
      <c r="P318" s="37"/>
      <c r="Q318" s="38"/>
      <c r="R318" s="39" t="s">
        <v>402</v>
      </c>
      <c r="S318" s="15"/>
      <c r="T318" s="15"/>
      <c r="U318" s="16"/>
      <c r="V318" s="40"/>
      <c r="W318" s="36"/>
      <c r="X318" s="41" t="s">
        <v>407</v>
      </c>
      <c r="Y318" s="36">
        <v>2000000</v>
      </c>
      <c r="Z318" s="41" t="s">
        <v>431</v>
      </c>
      <c r="AA318" s="46">
        <v>0.1</v>
      </c>
      <c r="AB318" s="45"/>
      <c r="AC318" s="46"/>
    </row>
    <row r="319" spans="2:29" ht="15" customHeight="1" x14ac:dyDescent="0.15">
      <c r="B319" s="4" t="s">
        <v>432</v>
      </c>
      <c r="C319" s="19" t="s">
        <v>100</v>
      </c>
      <c r="D319" s="20" t="s">
        <v>100</v>
      </c>
      <c r="E319" s="43" t="s">
        <v>100</v>
      </c>
      <c r="F319" s="28">
        <v>10</v>
      </c>
      <c r="G319" s="29"/>
      <c r="H319" s="29"/>
      <c r="I319" s="29"/>
      <c r="J319" s="28"/>
      <c r="K319" s="27">
        <v>2525</v>
      </c>
      <c r="L319" s="28">
        <v>2</v>
      </c>
      <c r="M319" s="29">
        <v>2500</v>
      </c>
      <c r="N319" s="29">
        <v>2100</v>
      </c>
      <c r="O319" s="29">
        <v>500</v>
      </c>
      <c r="P319" s="29">
        <v>1100</v>
      </c>
      <c r="Q319" s="28">
        <v>50</v>
      </c>
    </row>
    <row r="320" spans="2:29" ht="15" customHeight="1" x14ac:dyDescent="0.15">
      <c r="B320" s="4" t="s">
        <v>433</v>
      </c>
      <c r="C320" s="19">
        <v>1.6203703703703703E-3</v>
      </c>
      <c r="D320" s="20">
        <v>1</v>
      </c>
      <c r="E320" s="6">
        <v>25</v>
      </c>
      <c r="F320" s="20">
        <v>25</v>
      </c>
      <c r="G320" s="3">
        <v>850</v>
      </c>
      <c r="H320" s="3">
        <v>680</v>
      </c>
      <c r="I320" s="3">
        <v>170</v>
      </c>
      <c r="J320" s="20">
        <v>340</v>
      </c>
      <c r="K320" s="27">
        <v>2575</v>
      </c>
      <c r="L320" s="28">
        <v>5</v>
      </c>
      <c r="M320" s="29">
        <v>2200</v>
      </c>
      <c r="N320" s="29">
        <v>1800</v>
      </c>
      <c r="O320" s="29">
        <v>500</v>
      </c>
      <c r="P320" s="29">
        <v>900</v>
      </c>
      <c r="Q320" s="28">
        <v>100</v>
      </c>
      <c r="R320" s="4" t="s">
        <v>295</v>
      </c>
      <c r="X320" s="7" t="s">
        <v>434</v>
      </c>
      <c r="Y320" s="20">
        <v>100</v>
      </c>
    </row>
    <row r="321" spans="2:28" ht="15" customHeight="1" x14ac:dyDescent="0.15">
      <c r="B321" s="4" t="s">
        <v>435</v>
      </c>
      <c r="C321" s="19">
        <v>3.2407407407407406E-3</v>
      </c>
      <c r="D321" s="20">
        <v>1</v>
      </c>
      <c r="E321" s="6">
        <v>50</v>
      </c>
      <c r="F321" s="20">
        <v>35</v>
      </c>
      <c r="G321" s="6">
        <v>1445</v>
      </c>
      <c r="H321" s="6">
        <v>1156</v>
      </c>
      <c r="I321" s="3">
        <v>289</v>
      </c>
      <c r="J321" s="20">
        <v>578</v>
      </c>
      <c r="K321" s="6">
        <v>2600</v>
      </c>
      <c r="L321" s="20">
        <v>12</v>
      </c>
      <c r="M321" s="3">
        <v>2500</v>
      </c>
      <c r="N321" s="3">
        <v>1900</v>
      </c>
      <c r="O321" s="3">
        <v>500</v>
      </c>
      <c r="P321" s="3">
        <v>900</v>
      </c>
      <c r="Q321" s="20">
        <v>250</v>
      </c>
      <c r="R321" s="4" t="s">
        <v>271</v>
      </c>
      <c r="X321" s="7" t="s">
        <v>434</v>
      </c>
      <c r="Y321" s="20">
        <v>200</v>
      </c>
    </row>
    <row r="322" spans="2:28" ht="15" customHeight="1" x14ac:dyDescent="0.15">
      <c r="B322" s="4" t="s">
        <v>436</v>
      </c>
      <c r="C322" s="19">
        <v>6.4814814814814813E-3</v>
      </c>
      <c r="D322" s="20">
        <v>70</v>
      </c>
      <c r="E322" s="6">
        <v>200</v>
      </c>
      <c r="F322" s="20">
        <v>60</v>
      </c>
      <c r="G322" s="3">
        <v>2457</v>
      </c>
      <c r="H322" s="3">
        <v>1966</v>
      </c>
      <c r="I322" s="3">
        <v>492</v>
      </c>
      <c r="J322" s="20">
        <v>983</v>
      </c>
      <c r="K322" s="27">
        <v>2650</v>
      </c>
      <c r="L322" s="28">
        <v>25</v>
      </c>
      <c r="M322" s="29">
        <v>3200</v>
      </c>
      <c r="N322" s="29">
        <v>2500</v>
      </c>
      <c r="O322" s="29">
        <v>4200</v>
      </c>
      <c r="P322" s="29">
        <v>1200</v>
      </c>
      <c r="Q322" s="28">
        <v>450</v>
      </c>
      <c r="R322" s="4" t="s">
        <v>273</v>
      </c>
      <c r="X322" s="7" t="s">
        <v>434</v>
      </c>
      <c r="Y322" s="20">
        <v>300</v>
      </c>
    </row>
    <row r="323" spans="2:28" ht="15" customHeight="1" x14ac:dyDescent="0.15">
      <c r="B323" s="4" t="s">
        <v>437</v>
      </c>
      <c r="C323" s="19">
        <v>1.2962962962962963E-2</v>
      </c>
      <c r="D323" s="20">
        <v>70</v>
      </c>
      <c r="E323" s="6">
        <v>400</v>
      </c>
      <c r="F323" s="20">
        <v>85</v>
      </c>
      <c r="G323" s="3">
        <v>4177</v>
      </c>
      <c r="H323" s="3">
        <v>3343</v>
      </c>
      <c r="I323" s="3">
        <v>837</v>
      </c>
      <c r="J323" s="20">
        <v>1672</v>
      </c>
      <c r="K323" s="6">
        <v>10175</v>
      </c>
      <c r="L323" s="20">
        <v>42</v>
      </c>
      <c r="M323" s="3">
        <v>4300</v>
      </c>
      <c r="N323" s="3">
        <v>3500</v>
      </c>
      <c r="O323" s="3">
        <v>900</v>
      </c>
      <c r="P323" s="3">
        <v>1800</v>
      </c>
      <c r="Q323" s="20">
        <v>750</v>
      </c>
      <c r="R323" s="4" t="s">
        <v>274</v>
      </c>
    </row>
    <row r="324" spans="2:28" ht="15" customHeight="1" x14ac:dyDescent="0.15">
      <c r="B324" s="4" t="s">
        <v>438</v>
      </c>
      <c r="C324" s="19">
        <v>2.5925925925925925E-2</v>
      </c>
      <c r="D324" s="20">
        <v>130</v>
      </c>
      <c r="E324" s="6">
        <v>500</v>
      </c>
      <c r="F324" s="20">
        <v>130</v>
      </c>
      <c r="G324" s="3">
        <v>8354</v>
      </c>
      <c r="H324" s="3">
        <v>6686</v>
      </c>
      <c r="I324" s="3">
        <v>1674</v>
      </c>
      <c r="J324" s="20">
        <v>3344</v>
      </c>
      <c r="K324" s="6">
        <v>10000</v>
      </c>
      <c r="L324" s="20">
        <v>67</v>
      </c>
      <c r="M324" s="3">
        <v>6900</v>
      </c>
      <c r="N324" s="3">
        <v>5500</v>
      </c>
      <c r="O324" s="3">
        <v>1300</v>
      </c>
      <c r="P324" s="3">
        <v>2700</v>
      </c>
      <c r="Q324" s="20">
        <v>650</v>
      </c>
      <c r="R324" s="32" t="s">
        <v>276</v>
      </c>
    </row>
    <row r="325" spans="2:28" ht="15" customHeight="1" x14ac:dyDescent="0.15">
      <c r="B325" s="4" t="s">
        <v>439</v>
      </c>
      <c r="R325" s="32" t="s">
        <v>277</v>
      </c>
    </row>
    <row r="326" spans="2:28" ht="15" customHeight="1" x14ac:dyDescent="0.15">
      <c r="B326" s="4" t="s">
        <v>440</v>
      </c>
      <c r="R326" s="32" t="s">
        <v>278</v>
      </c>
    </row>
    <row r="327" spans="2:28" ht="15" customHeight="1" x14ac:dyDescent="0.15">
      <c r="B327" s="4" t="s">
        <v>441</v>
      </c>
      <c r="R327" s="32" t="s">
        <v>279</v>
      </c>
    </row>
    <row r="328" spans="2:28" ht="15" customHeight="1" x14ac:dyDescent="0.15">
      <c r="B328" s="4" t="s">
        <v>442</v>
      </c>
      <c r="R328" s="32" t="s">
        <v>280</v>
      </c>
    </row>
    <row r="329" spans="2:28" ht="15" customHeight="1" x14ac:dyDescent="0.15">
      <c r="B329" s="4" t="s">
        <v>443</v>
      </c>
      <c r="R329" s="32" t="s">
        <v>281</v>
      </c>
    </row>
    <row r="330" spans="2:28" ht="15" customHeight="1" x14ac:dyDescent="0.15">
      <c r="B330" s="4" t="s">
        <v>444</v>
      </c>
      <c r="R330" s="32" t="s">
        <v>282</v>
      </c>
    </row>
    <row r="331" spans="2:28" ht="15" customHeight="1" x14ac:dyDescent="0.15">
      <c r="B331" s="4" t="s">
        <v>445</v>
      </c>
      <c r="R331" s="32" t="s">
        <v>283</v>
      </c>
    </row>
    <row r="332" spans="2:28" ht="15" customHeight="1" x14ac:dyDescent="0.15">
      <c r="B332" s="4" t="s">
        <v>446</v>
      </c>
      <c r="R332" s="32" t="s">
        <v>284</v>
      </c>
    </row>
    <row r="333" spans="2:28" ht="15" customHeight="1" x14ac:dyDescent="0.15">
      <c r="B333" s="4" t="s">
        <v>447</v>
      </c>
      <c r="R333" s="32" t="s">
        <v>285</v>
      </c>
    </row>
    <row r="334" spans="2:28" ht="15" customHeight="1" x14ac:dyDescent="0.15">
      <c r="B334" s="33" t="s">
        <v>448</v>
      </c>
      <c r="C334" s="34"/>
      <c r="M334" s="6"/>
      <c r="N334" s="6"/>
      <c r="O334" s="6"/>
      <c r="P334" s="6"/>
      <c r="R334" s="32" t="s">
        <v>286</v>
      </c>
      <c r="S334" s="33"/>
      <c r="T334" s="33"/>
      <c r="V334" s="6"/>
      <c r="X334" s="31"/>
      <c r="Z334" s="31"/>
      <c r="AB334" s="31"/>
    </row>
    <row r="335" spans="2:28" ht="15" customHeight="1" x14ac:dyDescent="0.15">
      <c r="B335" s="33" t="s">
        <v>449</v>
      </c>
      <c r="C335" s="34"/>
      <c r="G335" s="6"/>
      <c r="H335" s="6"/>
      <c r="I335" s="6"/>
      <c r="M335" s="6"/>
      <c r="N335" s="6"/>
      <c r="O335" s="6"/>
      <c r="P335" s="6"/>
      <c r="R335" s="32" t="s">
        <v>287</v>
      </c>
      <c r="S335" s="33"/>
      <c r="T335" s="33"/>
      <c r="V335" s="6"/>
      <c r="X335" s="31"/>
      <c r="Z335" s="31"/>
      <c r="AB335" s="31"/>
    </row>
    <row r="336" spans="2:28" ht="15" customHeight="1" x14ac:dyDescent="0.15">
      <c r="B336" s="33" t="s">
        <v>450</v>
      </c>
      <c r="C336" s="34"/>
      <c r="G336" s="6"/>
      <c r="H336" s="6"/>
      <c r="I336" s="6"/>
      <c r="M336" s="6"/>
      <c r="N336" s="6"/>
      <c r="O336" s="6"/>
      <c r="P336" s="6"/>
      <c r="R336" s="32" t="s">
        <v>288</v>
      </c>
      <c r="S336" s="33"/>
      <c r="T336" s="33"/>
      <c r="V336" s="6"/>
      <c r="X336" s="31"/>
      <c r="Z336" s="31"/>
      <c r="AB336" s="31"/>
    </row>
    <row r="337" spans="2:29" ht="15" customHeight="1" x14ac:dyDescent="0.15">
      <c r="B337" s="33" t="s">
        <v>451</v>
      </c>
      <c r="C337" s="34"/>
      <c r="G337" s="6"/>
      <c r="H337" s="6"/>
      <c r="I337" s="6"/>
      <c r="M337" s="6"/>
      <c r="N337" s="6"/>
      <c r="O337" s="6"/>
      <c r="P337" s="6"/>
      <c r="R337" s="32" t="s">
        <v>289</v>
      </c>
      <c r="S337" s="33"/>
      <c r="T337" s="33"/>
      <c r="V337" s="6"/>
      <c r="X337" s="31"/>
      <c r="Z337" s="31"/>
      <c r="AB337" s="31"/>
    </row>
    <row r="338" spans="2:29" ht="15" customHeight="1" x14ac:dyDescent="0.15">
      <c r="B338" s="33" t="s">
        <v>452</v>
      </c>
      <c r="C338" s="34"/>
      <c r="G338" s="6"/>
      <c r="H338" s="6"/>
      <c r="I338" s="6"/>
      <c r="M338" s="6"/>
      <c r="N338" s="6"/>
      <c r="O338" s="6"/>
      <c r="P338" s="6"/>
      <c r="R338" s="32" t="s">
        <v>290</v>
      </c>
      <c r="S338" s="33"/>
      <c r="T338" s="33"/>
      <c r="V338" s="6"/>
      <c r="X338" s="31"/>
      <c r="Z338" s="31"/>
      <c r="AB338" s="31"/>
    </row>
    <row r="339" spans="2:29" ht="15" customHeight="1" x14ac:dyDescent="0.15">
      <c r="B339" s="15" t="s">
        <v>453</v>
      </c>
      <c r="C339" s="35"/>
      <c r="D339" s="36"/>
      <c r="E339" s="40"/>
      <c r="F339" s="36"/>
      <c r="G339" s="40"/>
      <c r="H339" s="40"/>
      <c r="I339" s="40"/>
      <c r="J339" s="36"/>
      <c r="K339" s="40"/>
      <c r="L339" s="36"/>
      <c r="M339" s="40"/>
      <c r="N339" s="40"/>
      <c r="O339" s="40"/>
      <c r="P339" s="40"/>
      <c r="Q339" s="36"/>
      <c r="R339" s="39" t="s">
        <v>291</v>
      </c>
      <c r="S339" s="15"/>
      <c r="T339" s="15"/>
      <c r="U339" s="16"/>
      <c r="V339" s="40"/>
      <c r="W339" s="36"/>
      <c r="X339" s="45"/>
      <c r="Y339" s="36"/>
      <c r="Z339" s="45"/>
      <c r="AA339" s="36"/>
      <c r="AB339" s="45"/>
      <c r="AC339" s="46"/>
    </row>
    <row r="340" spans="2:29" ht="15" customHeight="1" x14ac:dyDescent="0.15">
      <c r="B340" s="4" t="s">
        <v>454</v>
      </c>
      <c r="C340" s="19">
        <v>1.1574074074074073E-3</v>
      </c>
      <c r="D340" s="20">
        <v>1</v>
      </c>
      <c r="E340" s="6">
        <v>10</v>
      </c>
      <c r="F340" s="20">
        <v>10</v>
      </c>
      <c r="G340" s="3">
        <v>200</v>
      </c>
      <c r="H340" s="3">
        <v>100</v>
      </c>
      <c r="I340" s="3">
        <v>100</v>
      </c>
      <c r="J340" s="20">
        <v>300</v>
      </c>
      <c r="K340" s="6">
        <v>2525</v>
      </c>
      <c r="L340" s="20">
        <v>2</v>
      </c>
      <c r="M340" s="3">
        <v>2100</v>
      </c>
      <c r="N340" s="3">
        <v>1100</v>
      </c>
      <c r="O340" s="3">
        <v>1100</v>
      </c>
      <c r="P340" s="3">
        <v>3000</v>
      </c>
      <c r="Q340" s="20">
        <v>100</v>
      </c>
      <c r="R340" s="4" t="s">
        <v>455</v>
      </c>
      <c r="X340" s="25" t="s">
        <v>456</v>
      </c>
      <c r="Y340" s="50">
        <v>0.05</v>
      </c>
      <c r="Z340" s="51" t="s">
        <v>457</v>
      </c>
      <c r="AA340" s="50">
        <v>0.52</v>
      </c>
    </row>
    <row r="341" spans="2:29" ht="15" customHeight="1" x14ac:dyDescent="0.15">
      <c r="B341" s="4" t="s">
        <v>458</v>
      </c>
      <c r="C341" s="19">
        <v>2.3148148148148151E-3</v>
      </c>
      <c r="D341" s="20">
        <v>1</v>
      </c>
      <c r="E341" s="6">
        <v>25</v>
      </c>
      <c r="F341" s="20">
        <v>25</v>
      </c>
      <c r="G341" s="3">
        <v>360</v>
      </c>
      <c r="H341" s="3">
        <v>180</v>
      </c>
      <c r="I341" s="3">
        <v>180</v>
      </c>
      <c r="J341" s="20">
        <v>540</v>
      </c>
      <c r="K341" s="6">
        <v>2575</v>
      </c>
      <c r="L341" s="20">
        <v>5</v>
      </c>
      <c r="M341" s="3">
        <v>900</v>
      </c>
      <c r="N341" s="3">
        <v>500</v>
      </c>
      <c r="O341" s="3">
        <v>500</v>
      </c>
      <c r="P341" s="3">
        <v>1400</v>
      </c>
      <c r="Q341" s="20">
        <v>200</v>
      </c>
      <c r="R341" s="4" t="s">
        <v>455</v>
      </c>
      <c r="X341" s="30" t="s">
        <v>456</v>
      </c>
      <c r="Y341" s="44">
        <v>0.1</v>
      </c>
      <c r="Z341" s="52" t="s">
        <v>457</v>
      </c>
      <c r="AA341" s="44">
        <v>0.54</v>
      </c>
    </row>
    <row r="342" spans="2:29" ht="15" customHeight="1" x14ac:dyDescent="0.15">
      <c r="B342" s="4" t="s">
        <v>459</v>
      </c>
      <c r="C342" s="19">
        <v>4.6296296296296302E-3</v>
      </c>
      <c r="D342" s="20">
        <v>1</v>
      </c>
      <c r="E342" s="6">
        <v>50</v>
      </c>
      <c r="F342" s="20">
        <v>40</v>
      </c>
      <c r="G342" s="3">
        <v>648</v>
      </c>
      <c r="H342" s="3">
        <v>324</v>
      </c>
      <c r="I342" s="3">
        <v>324</v>
      </c>
      <c r="J342" s="20">
        <v>972</v>
      </c>
      <c r="K342" s="6">
        <v>2600</v>
      </c>
      <c r="L342" s="20">
        <v>15</v>
      </c>
      <c r="M342" s="3">
        <v>1100</v>
      </c>
      <c r="N342" s="3">
        <v>500</v>
      </c>
      <c r="O342" s="3">
        <v>500</v>
      </c>
      <c r="P342" s="3">
        <v>1600</v>
      </c>
      <c r="Q342" s="20">
        <v>200</v>
      </c>
      <c r="R342" s="4" t="s">
        <v>455</v>
      </c>
      <c r="X342" s="30" t="s">
        <v>456</v>
      </c>
      <c r="Y342" s="44">
        <v>0.15</v>
      </c>
      <c r="Z342" s="52" t="s">
        <v>457</v>
      </c>
      <c r="AA342" s="44">
        <v>0.56000000000000005</v>
      </c>
    </row>
    <row r="343" spans="2:29" ht="15" customHeight="1" x14ac:dyDescent="0.15">
      <c r="B343" s="4" t="s">
        <v>460</v>
      </c>
      <c r="C343" s="19">
        <v>9.2592592592592605E-3</v>
      </c>
      <c r="D343" s="20">
        <v>70</v>
      </c>
      <c r="E343" s="6">
        <v>200</v>
      </c>
      <c r="F343" s="20">
        <v>60</v>
      </c>
      <c r="G343" s="3">
        <v>1167</v>
      </c>
      <c r="H343" s="3">
        <v>584</v>
      </c>
      <c r="I343" s="3">
        <v>584</v>
      </c>
      <c r="J343" s="20">
        <v>1750</v>
      </c>
      <c r="K343" s="6">
        <v>2650</v>
      </c>
      <c r="L343" s="20">
        <v>25</v>
      </c>
      <c r="M343" s="3">
        <v>1500</v>
      </c>
      <c r="N343" s="3">
        <v>800</v>
      </c>
      <c r="O343" s="3">
        <v>800</v>
      </c>
      <c r="P343" s="3">
        <v>2200</v>
      </c>
      <c r="Q343" s="20">
        <v>250</v>
      </c>
      <c r="R343" s="4" t="s">
        <v>455</v>
      </c>
      <c r="X343" s="30" t="s">
        <v>456</v>
      </c>
      <c r="Y343" s="44">
        <v>0.2</v>
      </c>
      <c r="Z343" s="52" t="s">
        <v>457</v>
      </c>
      <c r="AA343" s="44">
        <v>0.57999999999999996</v>
      </c>
    </row>
    <row r="344" spans="2:29" ht="15" customHeight="1" x14ac:dyDescent="0.15">
      <c r="B344" s="4" t="s">
        <v>461</v>
      </c>
      <c r="C344" s="19">
        <v>1.8518518518518521E-2</v>
      </c>
      <c r="D344" s="20">
        <v>130</v>
      </c>
      <c r="E344" s="6">
        <v>400</v>
      </c>
      <c r="F344" s="20">
        <v>90</v>
      </c>
      <c r="G344" s="3">
        <v>2101</v>
      </c>
      <c r="H344" s="3">
        <v>1052</v>
      </c>
      <c r="I344" s="3">
        <v>1052</v>
      </c>
      <c r="J344" s="20">
        <v>3150</v>
      </c>
      <c r="K344" s="6">
        <v>2675</v>
      </c>
      <c r="L344" s="20">
        <v>45</v>
      </c>
      <c r="M344" s="3">
        <v>2200</v>
      </c>
      <c r="N344" s="3">
        <v>1100</v>
      </c>
      <c r="O344" s="3">
        <v>1100</v>
      </c>
      <c r="P344" s="3">
        <v>3200</v>
      </c>
      <c r="Q344" s="20">
        <v>450</v>
      </c>
      <c r="R344" s="4" t="s">
        <v>462</v>
      </c>
      <c r="X344" s="30" t="s">
        <v>456</v>
      </c>
      <c r="Y344" s="44">
        <v>0.25</v>
      </c>
      <c r="Z344" s="52" t="s">
        <v>457</v>
      </c>
      <c r="AA344" s="44">
        <v>0.6</v>
      </c>
    </row>
    <row r="345" spans="2:29" ht="15" customHeight="1" x14ac:dyDescent="0.15">
      <c r="B345" s="4" t="s">
        <v>463</v>
      </c>
      <c r="C345" s="19">
        <v>3.7037037037037042E-2</v>
      </c>
      <c r="D345" s="20">
        <v>130</v>
      </c>
      <c r="E345" s="6">
        <v>500</v>
      </c>
      <c r="F345" s="20">
        <v>135</v>
      </c>
      <c r="G345" s="3">
        <v>4202</v>
      </c>
      <c r="H345" s="3">
        <v>2104</v>
      </c>
      <c r="I345" s="3">
        <v>2104</v>
      </c>
      <c r="J345" s="20">
        <v>6300</v>
      </c>
      <c r="K345" s="6">
        <v>10000</v>
      </c>
      <c r="L345" s="20">
        <v>70</v>
      </c>
      <c r="M345" s="3">
        <v>3500</v>
      </c>
      <c r="N345" s="3">
        <v>1700</v>
      </c>
      <c r="O345" s="3">
        <v>1700</v>
      </c>
      <c r="P345" s="3">
        <v>5200</v>
      </c>
      <c r="Q345" s="20">
        <v>350</v>
      </c>
      <c r="R345" s="32" t="s">
        <v>246</v>
      </c>
      <c r="X345" s="30" t="s">
        <v>456</v>
      </c>
      <c r="Y345" s="44">
        <v>0.3</v>
      </c>
      <c r="Z345" s="52" t="s">
        <v>457</v>
      </c>
      <c r="AA345" s="44">
        <v>0.62</v>
      </c>
    </row>
    <row r="346" spans="2:29" ht="15" customHeight="1" x14ac:dyDescent="0.15">
      <c r="B346" s="4" t="s">
        <v>464</v>
      </c>
      <c r="C346" s="19">
        <v>7.407407407407407E-2</v>
      </c>
      <c r="D346" s="20">
        <v>300</v>
      </c>
      <c r="E346" s="6">
        <v>500</v>
      </c>
      <c r="F346" s="20">
        <v>215</v>
      </c>
      <c r="G346" s="3">
        <v>8404</v>
      </c>
      <c r="H346" s="3">
        <v>4208</v>
      </c>
      <c r="I346" s="3">
        <v>4208</v>
      </c>
      <c r="J346" s="20">
        <v>12600</v>
      </c>
      <c r="K346" s="6">
        <v>10000</v>
      </c>
      <c r="L346" s="20">
        <v>115</v>
      </c>
      <c r="M346" s="3">
        <v>6000</v>
      </c>
      <c r="N346" s="3">
        <v>3000</v>
      </c>
      <c r="O346" s="3">
        <v>3000</v>
      </c>
      <c r="P346" s="3">
        <v>9000</v>
      </c>
      <c r="Q346" s="20">
        <v>250</v>
      </c>
      <c r="R346" s="32" t="s">
        <v>249</v>
      </c>
      <c r="X346" s="30" t="s">
        <v>456</v>
      </c>
      <c r="Y346" s="44">
        <v>0.35</v>
      </c>
      <c r="Z346" s="52" t="s">
        <v>457</v>
      </c>
      <c r="AA346" s="44">
        <v>0.64</v>
      </c>
    </row>
    <row r="347" spans="2:29" ht="15" customHeight="1" x14ac:dyDescent="0.15">
      <c r="B347" s="4" t="s">
        <v>465</v>
      </c>
      <c r="C347" s="19">
        <v>0.14814814814814814</v>
      </c>
      <c r="D347" s="20">
        <v>300</v>
      </c>
      <c r="E347" s="6">
        <v>500</v>
      </c>
      <c r="F347" s="20">
        <v>310</v>
      </c>
      <c r="G347" s="3">
        <v>16808</v>
      </c>
      <c r="H347" s="3">
        <v>8416</v>
      </c>
      <c r="I347" s="3">
        <v>8416</v>
      </c>
      <c r="J347" s="20">
        <v>25200</v>
      </c>
      <c r="K347" s="6">
        <v>10000</v>
      </c>
      <c r="L347" s="20">
        <v>175</v>
      </c>
      <c r="M347" s="3">
        <v>10500</v>
      </c>
      <c r="N347" s="3">
        <v>5200</v>
      </c>
      <c r="O347" s="3">
        <v>5200</v>
      </c>
      <c r="P347" s="3">
        <v>15700</v>
      </c>
      <c r="Q347" s="20">
        <v>350</v>
      </c>
      <c r="R347" s="32" t="s">
        <v>252</v>
      </c>
      <c r="X347" s="30" t="s">
        <v>456</v>
      </c>
      <c r="Y347" s="44">
        <v>0.4</v>
      </c>
      <c r="Z347" s="52" t="s">
        <v>457</v>
      </c>
      <c r="AA347" s="44">
        <v>0.66</v>
      </c>
    </row>
    <row r="348" spans="2:29" ht="15" customHeight="1" x14ac:dyDescent="0.15">
      <c r="B348" s="4" t="s">
        <v>466</v>
      </c>
      <c r="C348" s="19">
        <v>0.29629629629629628</v>
      </c>
      <c r="D348" s="20">
        <v>650</v>
      </c>
      <c r="E348" s="6">
        <v>500</v>
      </c>
      <c r="F348" s="20">
        <v>475</v>
      </c>
      <c r="G348" s="3">
        <v>33616</v>
      </c>
      <c r="H348" s="3">
        <v>16832</v>
      </c>
      <c r="I348" s="3">
        <v>16832</v>
      </c>
      <c r="J348" s="20">
        <v>50400</v>
      </c>
      <c r="K348" s="6">
        <v>30000</v>
      </c>
      <c r="L348" s="20">
        <v>250</v>
      </c>
      <c r="M348" s="3">
        <v>14800</v>
      </c>
      <c r="N348" s="3">
        <v>14800</v>
      </c>
      <c r="O348" s="3">
        <v>3700</v>
      </c>
      <c r="P348" s="3">
        <v>37100</v>
      </c>
      <c r="Q348" s="20">
        <v>450</v>
      </c>
      <c r="R348" s="32" t="s">
        <v>253</v>
      </c>
      <c r="X348" s="30" t="s">
        <v>456</v>
      </c>
      <c r="Y348" s="44">
        <v>0.45</v>
      </c>
      <c r="Z348" s="52" t="s">
        <v>457</v>
      </c>
      <c r="AA348" s="44">
        <v>0.68</v>
      </c>
    </row>
    <row r="349" spans="2:29" ht="15" customHeight="1" x14ac:dyDescent="0.15">
      <c r="B349" s="4" t="s">
        <v>467</v>
      </c>
      <c r="C349" s="19">
        <v>0.59259259259259256</v>
      </c>
      <c r="D349" s="20">
        <v>1000</v>
      </c>
      <c r="E349" s="6">
        <v>500</v>
      </c>
      <c r="F349" s="20">
        <v>715</v>
      </c>
      <c r="G349" s="3">
        <v>50424</v>
      </c>
      <c r="H349" s="3">
        <v>25248</v>
      </c>
      <c r="I349" s="3">
        <v>25248</v>
      </c>
      <c r="J349" s="20">
        <v>75600</v>
      </c>
      <c r="K349" s="6">
        <v>30000</v>
      </c>
      <c r="L349" s="20">
        <v>400</v>
      </c>
      <c r="M349" s="3">
        <v>10084</v>
      </c>
      <c r="N349" s="3">
        <v>5049</v>
      </c>
      <c r="O349" s="3">
        <v>5049</v>
      </c>
      <c r="P349" s="3">
        <v>15120</v>
      </c>
      <c r="Q349" s="20">
        <v>325</v>
      </c>
      <c r="R349" s="32" t="s">
        <v>254</v>
      </c>
      <c r="X349" s="30" t="s">
        <v>456</v>
      </c>
      <c r="Y349" s="44">
        <v>0.5</v>
      </c>
      <c r="Z349" s="52" t="s">
        <v>457</v>
      </c>
      <c r="AA349" s="44">
        <v>0.7</v>
      </c>
    </row>
    <row r="350" spans="2:29" ht="15" customHeight="1" x14ac:dyDescent="0.15">
      <c r="B350" s="4" t="s">
        <v>468</v>
      </c>
      <c r="R350" s="32" t="s">
        <v>255</v>
      </c>
      <c r="X350" s="30" t="s">
        <v>456</v>
      </c>
      <c r="Y350" s="44">
        <v>0.55000000000000004</v>
      </c>
      <c r="Z350" s="52" t="s">
        <v>457</v>
      </c>
      <c r="AA350" s="44">
        <v>0.72</v>
      </c>
    </row>
    <row r="351" spans="2:29" ht="15" customHeight="1" x14ac:dyDescent="0.15">
      <c r="B351" s="33" t="s">
        <v>469</v>
      </c>
      <c r="C351" s="34"/>
      <c r="M351" s="6"/>
      <c r="N351" s="6"/>
      <c r="O351" s="6"/>
      <c r="P351" s="6"/>
      <c r="R351" s="32" t="s">
        <v>256</v>
      </c>
      <c r="S351" s="33"/>
      <c r="T351" s="33"/>
      <c r="V351" s="6"/>
      <c r="X351" s="30" t="s">
        <v>456</v>
      </c>
      <c r="Y351" s="44">
        <v>0.6</v>
      </c>
      <c r="Z351" s="52" t="s">
        <v>457</v>
      </c>
      <c r="AA351" s="44">
        <v>0.74</v>
      </c>
      <c r="AB351" s="31"/>
    </row>
    <row r="352" spans="2:29" ht="15" customHeight="1" x14ac:dyDescent="0.15">
      <c r="B352" s="33" t="s">
        <v>470</v>
      </c>
      <c r="C352" s="34"/>
      <c r="M352" s="6"/>
      <c r="N352" s="6"/>
      <c r="O352" s="6"/>
      <c r="P352" s="6"/>
      <c r="R352" s="32" t="s">
        <v>257</v>
      </c>
      <c r="S352" s="33"/>
      <c r="T352" s="33"/>
      <c r="V352" s="6"/>
      <c r="X352" s="30" t="s">
        <v>456</v>
      </c>
      <c r="Y352" s="44">
        <v>0.65</v>
      </c>
      <c r="Z352" s="52" t="s">
        <v>457</v>
      </c>
      <c r="AA352" s="44">
        <v>0.76</v>
      </c>
      <c r="AB352" s="31"/>
    </row>
    <row r="353" spans="2:29" ht="15" customHeight="1" x14ac:dyDescent="0.15">
      <c r="B353" s="33" t="s">
        <v>471</v>
      </c>
      <c r="C353" s="34"/>
      <c r="M353" s="6"/>
      <c r="N353" s="6"/>
      <c r="O353" s="6"/>
      <c r="P353" s="6"/>
      <c r="R353" s="32" t="s">
        <v>258</v>
      </c>
      <c r="S353" s="33"/>
      <c r="T353" s="33"/>
      <c r="V353" s="6"/>
      <c r="X353" s="30" t="s">
        <v>456</v>
      </c>
      <c r="Y353" s="44">
        <v>0.7</v>
      </c>
      <c r="Z353" s="52" t="s">
        <v>457</v>
      </c>
      <c r="AA353" s="44">
        <v>0.78</v>
      </c>
      <c r="AB353" s="31"/>
    </row>
    <row r="354" spans="2:29" ht="15" customHeight="1" x14ac:dyDescent="0.15">
      <c r="B354" s="33" t="s">
        <v>472</v>
      </c>
      <c r="C354" s="34"/>
      <c r="M354" s="6"/>
      <c r="N354" s="6"/>
      <c r="O354" s="6"/>
      <c r="P354" s="6"/>
      <c r="R354" s="32" t="s">
        <v>259</v>
      </c>
      <c r="S354" s="33"/>
      <c r="T354" s="33"/>
      <c r="V354" s="6"/>
      <c r="X354" s="30" t="s">
        <v>456</v>
      </c>
      <c r="Y354" s="44">
        <v>0.75</v>
      </c>
      <c r="Z354" s="52" t="s">
        <v>457</v>
      </c>
      <c r="AA354" s="44">
        <v>0.8</v>
      </c>
      <c r="AB354" s="31"/>
    </row>
    <row r="355" spans="2:29" ht="15" customHeight="1" x14ac:dyDescent="0.15">
      <c r="B355" s="33" t="s">
        <v>473</v>
      </c>
      <c r="C355" s="34"/>
      <c r="M355" s="6"/>
      <c r="N355" s="6"/>
      <c r="O355" s="6"/>
      <c r="P355" s="6"/>
      <c r="R355" s="32" t="s">
        <v>260</v>
      </c>
      <c r="S355" s="33"/>
      <c r="T355" s="33"/>
      <c r="V355" s="6"/>
      <c r="X355" s="30" t="s">
        <v>456</v>
      </c>
      <c r="Y355" s="44">
        <v>0.8</v>
      </c>
      <c r="Z355" s="52" t="s">
        <v>457</v>
      </c>
      <c r="AA355" s="44">
        <v>0.82</v>
      </c>
      <c r="AB355" s="31"/>
    </row>
    <row r="356" spans="2:29" ht="15" customHeight="1" x14ac:dyDescent="0.15">
      <c r="B356" s="33" t="s">
        <v>474</v>
      </c>
      <c r="C356" s="34"/>
      <c r="G356" s="6"/>
      <c r="H356" s="6"/>
      <c r="I356" s="6"/>
      <c r="M356" s="6"/>
      <c r="N356" s="6"/>
      <c r="O356" s="6"/>
      <c r="P356" s="6"/>
      <c r="R356" s="32" t="s">
        <v>261</v>
      </c>
      <c r="S356" s="33"/>
      <c r="T356" s="33"/>
      <c r="V356" s="6"/>
      <c r="X356" s="30" t="s">
        <v>456</v>
      </c>
      <c r="Y356" s="44">
        <v>0.85</v>
      </c>
      <c r="Z356" s="52" t="s">
        <v>457</v>
      </c>
      <c r="AA356" s="44">
        <v>0.84</v>
      </c>
      <c r="AB356" s="31"/>
    </row>
    <row r="357" spans="2:29" ht="15" customHeight="1" x14ac:dyDescent="0.15">
      <c r="B357" s="33" t="s">
        <v>475</v>
      </c>
      <c r="C357" s="34"/>
      <c r="G357" s="6"/>
      <c r="H357" s="6"/>
      <c r="I357" s="6"/>
      <c r="M357" s="6"/>
      <c r="N357" s="6"/>
      <c r="O357" s="6"/>
      <c r="P357" s="6"/>
      <c r="R357" s="32" t="s">
        <v>262</v>
      </c>
      <c r="S357" s="33"/>
      <c r="T357" s="33"/>
      <c r="V357" s="6"/>
      <c r="X357" s="30" t="s">
        <v>456</v>
      </c>
      <c r="Y357" s="44">
        <v>0.9</v>
      </c>
      <c r="Z357" s="52" t="s">
        <v>457</v>
      </c>
      <c r="AA357" s="44">
        <v>0.86</v>
      </c>
      <c r="AB357" s="31"/>
    </row>
    <row r="358" spans="2:29" ht="15" customHeight="1" x14ac:dyDescent="0.15">
      <c r="B358" s="33" t="s">
        <v>476</v>
      </c>
      <c r="C358" s="34"/>
      <c r="G358" s="6"/>
      <c r="H358" s="6"/>
      <c r="I358" s="6"/>
      <c r="M358" s="6"/>
      <c r="N358" s="6"/>
      <c r="O358" s="6"/>
      <c r="P358" s="6"/>
      <c r="R358" s="32" t="s">
        <v>263</v>
      </c>
      <c r="S358" s="33"/>
      <c r="T358" s="33"/>
      <c r="V358" s="6"/>
      <c r="X358" s="30" t="s">
        <v>456</v>
      </c>
      <c r="Y358" s="44">
        <v>0.95</v>
      </c>
      <c r="Z358" s="52" t="s">
        <v>457</v>
      </c>
      <c r="AA358" s="44">
        <v>0.88</v>
      </c>
      <c r="AB358" s="31"/>
    </row>
    <row r="359" spans="2:29" ht="15" customHeight="1" x14ac:dyDescent="0.15">
      <c r="B359" s="33" t="s">
        <v>477</v>
      </c>
      <c r="C359" s="34"/>
      <c r="G359" s="6"/>
      <c r="H359" s="6"/>
      <c r="I359" s="6"/>
      <c r="M359" s="6"/>
      <c r="N359" s="6"/>
      <c r="O359" s="6"/>
      <c r="P359" s="6"/>
      <c r="R359" s="32" t="s">
        <v>264</v>
      </c>
      <c r="S359" s="33"/>
      <c r="T359" s="33"/>
      <c r="V359" s="6"/>
      <c r="X359" s="30" t="s">
        <v>456</v>
      </c>
      <c r="Y359" s="44">
        <v>1</v>
      </c>
      <c r="Z359" s="52" t="s">
        <v>457</v>
      </c>
      <c r="AA359" s="44">
        <v>0.9</v>
      </c>
      <c r="AB359" s="31"/>
    </row>
    <row r="360" spans="2:29" ht="15" customHeight="1" x14ac:dyDescent="0.15">
      <c r="B360" s="15" t="s">
        <v>478</v>
      </c>
      <c r="C360" s="35"/>
      <c r="D360" s="36"/>
      <c r="E360" s="40"/>
      <c r="F360" s="36"/>
      <c r="G360" s="40"/>
      <c r="H360" s="40"/>
      <c r="I360" s="40"/>
      <c r="J360" s="36"/>
      <c r="K360" s="40"/>
      <c r="L360" s="36"/>
      <c r="M360" s="40"/>
      <c r="N360" s="40"/>
      <c r="O360" s="40"/>
      <c r="P360" s="40"/>
      <c r="Q360" s="36"/>
      <c r="R360" s="39" t="s">
        <v>265</v>
      </c>
      <c r="S360" s="15"/>
      <c r="T360" s="15"/>
      <c r="U360" s="16"/>
      <c r="V360" s="40"/>
      <c r="W360" s="36"/>
      <c r="X360" s="41" t="s">
        <v>456</v>
      </c>
      <c r="Y360" s="46">
        <v>1.25</v>
      </c>
      <c r="Z360" s="53" t="s">
        <v>457</v>
      </c>
      <c r="AA360" s="46">
        <v>0.95</v>
      </c>
      <c r="AB360" s="45"/>
      <c r="AC360" s="46"/>
    </row>
    <row r="367" spans="2:29" ht="15" customHeight="1" x14ac:dyDescent="0.15">
      <c r="B367" s="4" t="s">
        <v>479</v>
      </c>
      <c r="C367" s="19">
        <v>0</v>
      </c>
      <c r="D367" s="20">
        <v>0</v>
      </c>
      <c r="E367" s="6">
        <v>10</v>
      </c>
      <c r="F367" s="20">
        <v>35</v>
      </c>
      <c r="G367" s="3">
        <v>0</v>
      </c>
      <c r="H367" s="3">
        <v>0</v>
      </c>
      <c r="I367" s="3">
        <v>0</v>
      </c>
      <c r="J367" s="20">
        <v>0</v>
      </c>
      <c r="T367" s="7" t="s">
        <v>480</v>
      </c>
      <c r="X367" s="30" t="s">
        <v>481</v>
      </c>
      <c r="Y367" s="20">
        <v>5</v>
      </c>
    </row>
    <row r="368" spans="2:29" ht="15" customHeight="1" x14ac:dyDescent="0.15">
      <c r="B368" s="4" t="s">
        <v>482</v>
      </c>
      <c r="E368" s="6">
        <v>25</v>
      </c>
      <c r="F368" s="20">
        <v>70</v>
      </c>
      <c r="G368" s="3">
        <v>190</v>
      </c>
      <c r="H368" s="3">
        <v>190</v>
      </c>
      <c r="I368" s="3">
        <v>190</v>
      </c>
      <c r="J368" s="20">
        <v>190</v>
      </c>
      <c r="R368" s="4" t="s">
        <v>483</v>
      </c>
      <c r="T368" s="4" t="s">
        <v>484</v>
      </c>
      <c r="X368" s="30" t="s">
        <v>481</v>
      </c>
      <c r="Y368" s="20">
        <v>6</v>
      </c>
    </row>
    <row r="369" spans="2:25" ht="15" customHeight="1" x14ac:dyDescent="0.15">
      <c r="B369" s="4" t="s">
        <v>485</v>
      </c>
      <c r="X369" s="30" t="s">
        <v>481</v>
      </c>
      <c r="Y369" s="20">
        <v>7</v>
      </c>
    </row>
    <row r="370" spans="2:25" ht="15" customHeight="1" x14ac:dyDescent="0.15">
      <c r="B370" s="4" t="s">
        <v>486</v>
      </c>
      <c r="X370" s="30" t="s">
        <v>481</v>
      </c>
      <c r="Y370" s="20">
        <v>8</v>
      </c>
    </row>
    <row r="371" spans="2:25" ht="15" customHeight="1" x14ac:dyDescent="0.15">
      <c r="B371" s="4" t="s">
        <v>487</v>
      </c>
      <c r="X371" s="30" t="s">
        <v>481</v>
      </c>
      <c r="Y371" s="20">
        <v>9</v>
      </c>
    </row>
    <row r="372" spans="2:25" ht="15" customHeight="1" x14ac:dyDescent="0.15">
      <c r="B372" s="4" t="s">
        <v>488</v>
      </c>
      <c r="X372" s="30" t="s">
        <v>481</v>
      </c>
      <c r="Y372" s="20">
        <v>10</v>
      </c>
    </row>
    <row r="373" spans="2:25" ht="15" customHeight="1" x14ac:dyDescent="0.15">
      <c r="B373" s="4" t="s">
        <v>489</v>
      </c>
      <c r="X373" s="30" t="s">
        <v>481</v>
      </c>
      <c r="Y373" s="20">
        <v>11</v>
      </c>
    </row>
    <row r="374" spans="2:25" ht="15" customHeight="1" x14ac:dyDescent="0.15">
      <c r="B374" s="4" t="s">
        <v>490</v>
      </c>
      <c r="X374" s="30" t="s">
        <v>481</v>
      </c>
      <c r="Y374" s="20">
        <v>12</v>
      </c>
    </row>
    <row r="375" spans="2:25" ht="15" customHeight="1" x14ac:dyDescent="0.15">
      <c r="B375" s="4" t="s">
        <v>491</v>
      </c>
      <c r="X375" s="30" t="s">
        <v>481</v>
      </c>
      <c r="Y375" s="20">
        <v>13</v>
      </c>
    </row>
    <row r="376" spans="2:25" ht="15" customHeight="1" x14ac:dyDescent="0.15">
      <c r="B376" s="4" t="s">
        <v>492</v>
      </c>
      <c r="X376" s="30" t="s">
        <v>481</v>
      </c>
      <c r="Y376" s="20">
        <v>14</v>
      </c>
    </row>
    <row r="377" spans="2:25" ht="15" customHeight="1" x14ac:dyDescent="0.15">
      <c r="B377" s="4" t="s">
        <v>493</v>
      </c>
      <c r="X377" s="30" t="s">
        <v>481</v>
      </c>
      <c r="Y377" s="20">
        <v>15</v>
      </c>
    </row>
    <row r="378" spans="2:25" ht="15" customHeight="1" x14ac:dyDescent="0.15">
      <c r="B378" s="4" t="s">
        <v>494</v>
      </c>
      <c r="X378" s="30" t="s">
        <v>481</v>
      </c>
      <c r="Y378" s="20">
        <v>16</v>
      </c>
    </row>
    <row r="379" spans="2:25" ht="15" customHeight="1" x14ac:dyDescent="0.15">
      <c r="B379" s="4" t="s">
        <v>495</v>
      </c>
      <c r="X379" s="30" t="s">
        <v>481</v>
      </c>
      <c r="Y379" s="20">
        <v>17</v>
      </c>
    </row>
    <row r="380" spans="2:25" ht="15" customHeight="1" x14ac:dyDescent="0.15">
      <c r="B380" s="4" t="s">
        <v>496</v>
      </c>
      <c r="X380" s="30" t="s">
        <v>481</v>
      </c>
      <c r="Y380" s="20">
        <v>18</v>
      </c>
    </row>
    <row r="381" spans="2:25" ht="15" customHeight="1" x14ac:dyDescent="0.15">
      <c r="B381" s="4" t="s">
        <v>497</v>
      </c>
      <c r="X381" s="30" t="s">
        <v>481</v>
      </c>
      <c r="Y381" s="20">
        <v>19</v>
      </c>
    </row>
    <row r="382" spans="2:25" ht="15" customHeight="1" x14ac:dyDescent="0.15">
      <c r="B382" s="4" t="s">
        <v>498</v>
      </c>
      <c r="X382" s="30" t="s">
        <v>481</v>
      </c>
      <c r="Y382" s="20">
        <v>20</v>
      </c>
    </row>
    <row r="383" spans="2:25" ht="15" customHeight="1" x14ac:dyDescent="0.15">
      <c r="B383" s="4" t="s">
        <v>499</v>
      </c>
      <c r="X383" s="30" t="s">
        <v>481</v>
      </c>
      <c r="Y383" s="20">
        <v>21</v>
      </c>
    </row>
    <row r="384" spans="2:25" ht="15" customHeight="1" x14ac:dyDescent="0.15">
      <c r="B384" s="4" t="s">
        <v>500</v>
      </c>
      <c r="X384" s="30" t="s">
        <v>481</v>
      </c>
      <c r="Y384" s="20">
        <v>22</v>
      </c>
    </row>
    <row r="385" spans="2:29" ht="15" customHeight="1" x14ac:dyDescent="0.15">
      <c r="B385" s="4" t="s">
        <v>501</v>
      </c>
      <c r="X385" s="30" t="s">
        <v>481</v>
      </c>
      <c r="Y385" s="20">
        <v>23</v>
      </c>
    </row>
    <row r="386" spans="2:29" ht="15" customHeight="1" x14ac:dyDescent="0.15">
      <c r="B386" s="4" t="s">
        <v>502</v>
      </c>
      <c r="X386" s="30" t="s">
        <v>481</v>
      </c>
      <c r="Y386" s="20">
        <v>24</v>
      </c>
    </row>
    <row r="387" spans="2:29" ht="15" customHeight="1" x14ac:dyDescent="0.15">
      <c r="B387" s="15" t="s">
        <v>503</v>
      </c>
      <c r="C387" s="35"/>
      <c r="D387" s="36"/>
      <c r="E387" s="40"/>
      <c r="F387" s="36"/>
      <c r="G387" s="40"/>
      <c r="H387" s="40"/>
      <c r="I387" s="40"/>
      <c r="J387" s="36"/>
      <c r="K387" s="40"/>
      <c r="L387" s="36"/>
      <c r="M387" s="40"/>
      <c r="N387" s="40"/>
      <c r="O387" s="40"/>
      <c r="P387" s="40"/>
      <c r="Q387" s="36"/>
      <c r="R387" s="15"/>
      <c r="S387" s="15"/>
      <c r="T387" s="15"/>
      <c r="U387" s="16"/>
      <c r="V387" s="40"/>
      <c r="W387" s="36"/>
      <c r="X387" s="41" t="s">
        <v>481</v>
      </c>
      <c r="Y387" s="36">
        <v>25</v>
      </c>
      <c r="Z387" s="45" t="s">
        <v>504</v>
      </c>
      <c r="AA387" s="36">
        <v>2</v>
      </c>
      <c r="AB387" s="45"/>
      <c r="AC387" s="46"/>
    </row>
    <row r="388" spans="2:29" ht="15" customHeight="1" x14ac:dyDescent="0.15">
      <c r="G388" s="3">
        <f>SUM(G1:G349)</f>
        <v>3746644</v>
      </c>
      <c r="H388" s="3">
        <f>SUM(H1:H349)</f>
        <v>3648282</v>
      </c>
      <c r="I388" s="3">
        <f>SUM(I1:I349)</f>
        <v>2318046</v>
      </c>
      <c r="J388" s="3">
        <f>SUM(J1:J349)</f>
        <v>2625914</v>
      </c>
    </row>
  </sheetData>
  <mergeCells count="15">
    <mergeCell ref="AE2:AE3"/>
    <mergeCell ref="AF2:AF3"/>
    <mergeCell ref="AG2:AG3"/>
    <mergeCell ref="R2:S3"/>
    <mergeCell ref="T2:U3"/>
    <mergeCell ref="V2:V3"/>
    <mergeCell ref="W2:W3"/>
    <mergeCell ref="X2:AC2"/>
    <mergeCell ref="AD2:AD3"/>
    <mergeCell ref="K2:Q2"/>
    <mergeCell ref="B2:B3"/>
    <mergeCell ref="C2:C3"/>
    <mergeCell ref="D2:D3"/>
    <mergeCell ref="E2:F2"/>
    <mergeCell ref="G2:J2"/>
  </mergeCells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3" sqref="I13"/>
    </sheetView>
  </sheetViews>
  <sheetFormatPr defaultRowHeight="16.5" x14ac:dyDescent="0.15"/>
  <cols>
    <col min="1" max="1" width="23.625" style="95" bestFit="1" customWidth="1"/>
    <col min="2" max="2" width="14.5" style="95" customWidth="1"/>
    <col min="3" max="3" width="13.875" style="95" customWidth="1"/>
    <col min="4" max="16384" width="9" style="95"/>
  </cols>
  <sheetData>
    <row r="1" spans="1:6" ht="33.75" customHeight="1" x14ac:dyDescent="0.15">
      <c r="A1" s="94" t="s">
        <v>4</v>
      </c>
      <c r="B1" s="94" t="s">
        <v>5</v>
      </c>
      <c r="C1" s="94" t="s">
        <v>6</v>
      </c>
      <c r="D1" s="94" t="s">
        <v>7</v>
      </c>
      <c r="E1" s="94" t="s">
        <v>586</v>
      </c>
      <c r="F1" s="94" t="s">
        <v>641</v>
      </c>
    </row>
    <row r="2" spans="1:6" x14ac:dyDescent="0.15">
      <c r="A2" s="96" t="s">
        <v>8</v>
      </c>
      <c r="B2" s="97">
        <v>1</v>
      </c>
      <c r="C2" s="98" t="s">
        <v>9</v>
      </c>
      <c r="D2" s="99">
        <v>2</v>
      </c>
      <c r="E2" s="122">
        <v>0.12</v>
      </c>
      <c r="F2" s="147">
        <f>E2*B2</f>
        <v>0.12</v>
      </c>
    </row>
    <row r="3" spans="1:6" x14ac:dyDescent="0.15">
      <c r="A3" s="96" t="s">
        <v>11</v>
      </c>
      <c r="B3" s="97">
        <v>1</v>
      </c>
      <c r="C3" s="98" t="s">
        <v>9</v>
      </c>
      <c r="D3" s="100">
        <v>1</v>
      </c>
      <c r="E3" s="122"/>
      <c r="F3" s="147">
        <f t="shared" ref="F3:F13" si="0">E3*B3</f>
        <v>0</v>
      </c>
    </row>
    <row r="4" spans="1:6" x14ac:dyDescent="0.15">
      <c r="A4" s="96" t="s">
        <v>12</v>
      </c>
      <c r="B4" s="97">
        <v>1</v>
      </c>
      <c r="C4" s="98" t="s">
        <v>9</v>
      </c>
      <c r="D4" s="100">
        <v>1</v>
      </c>
      <c r="E4" s="122"/>
      <c r="F4" s="147">
        <f t="shared" si="0"/>
        <v>0</v>
      </c>
    </row>
    <row r="5" spans="1:6" x14ac:dyDescent="0.15">
      <c r="A5" s="96" t="s">
        <v>13</v>
      </c>
      <c r="B5" s="97">
        <v>1</v>
      </c>
      <c r="C5" s="98" t="s">
        <v>10</v>
      </c>
      <c r="D5" s="101">
        <v>3</v>
      </c>
      <c r="E5" s="122"/>
      <c r="F5" s="147">
        <f t="shared" si="0"/>
        <v>0</v>
      </c>
    </row>
    <row r="6" spans="1:6" x14ac:dyDescent="0.15">
      <c r="A6" s="96" t="s">
        <v>14</v>
      </c>
      <c r="B6" s="97">
        <v>3</v>
      </c>
      <c r="C6" s="98" t="s">
        <v>10</v>
      </c>
      <c r="D6" s="99">
        <v>2</v>
      </c>
      <c r="E6" s="122"/>
      <c r="F6" s="147">
        <f t="shared" si="0"/>
        <v>0</v>
      </c>
    </row>
    <row r="7" spans="1:6" x14ac:dyDescent="0.15">
      <c r="A7" s="96" t="s">
        <v>15</v>
      </c>
      <c r="B7" s="97">
        <v>1</v>
      </c>
      <c r="C7" s="98" t="s">
        <v>10</v>
      </c>
      <c r="D7" s="100">
        <v>1</v>
      </c>
      <c r="E7" s="122"/>
      <c r="F7" s="147">
        <f t="shared" si="0"/>
        <v>0</v>
      </c>
    </row>
    <row r="8" spans="1:6" x14ac:dyDescent="0.15">
      <c r="A8" s="96" t="s">
        <v>16</v>
      </c>
      <c r="B8" s="97">
        <v>1</v>
      </c>
      <c r="C8" s="98" t="s">
        <v>10</v>
      </c>
      <c r="D8" s="99">
        <v>2</v>
      </c>
      <c r="E8" s="122"/>
      <c r="F8" s="147">
        <f t="shared" si="0"/>
        <v>0</v>
      </c>
    </row>
    <row r="9" spans="1:6" x14ac:dyDescent="0.15">
      <c r="A9" s="96" t="s">
        <v>17</v>
      </c>
      <c r="B9" s="97">
        <v>1</v>
      </c>
      <c r="C9" s="98" t="s">
        <v>9</v>
      </c>
      <c r="D9" s="99">
        <v>2</v>
      </c>
      <c r="E9" s="122"/>
      <c r="F9" s="147">
        <f t="shared" si="0"/>
        <v>0</v>
      </c>
    </row>
    <row r="10" spans="1:6" x14ac:dyDescent="0.15">
      <c r="A10" s="96" t="s">
        <v>18</v>
      </c>
      <c r="B10" s="97">
        <v>1</v>
      </c>
      <c r="C10" s="98" t="s">
        <v>10</v>
      </c>
      <c r="D10" s="101">
        <v>3</v>
      </c>
      <c r="E10" s="122"/>
      <c r="F10" s="147">
        <f t="shared" si="0"/>
        <v>0</v>
      </c>
    </row>
    <row r="11" spans="1:6" x14ac:dyDescent="0.15">
      <c r="A11" s="96" t="s">
        <v>19</v>
      </c>
      <c r="B11" s="97">
        <v>1</v>
      </c>
      <c r="C11" s="98" t="s">
        <v>10</v>
      </c>
      <c r="D11" s="101">
        <v>3</v>
      </c>
      <c r="E11" s="122"/>
      <c r="F11" s="147">
        <f t="shared" si="0"/>
        <v>0</v>
      </c>
    </row>
    <row r="12" spans="1:6" x14ac:dyDescent="0.15">
      <c r="A12" s="96" t="s">
        <v>20</v>
      </c>
      <c r="B12" s="97">
        <v>1</v>
      </c>
      <c r="C12" s="98" t="s">
        <v>9</v>
      </c>
      <c r="D12" s="100">
        <v>1</v>
      </c>
      <c r="E12" s="122"/>
      <c r="F12" s="147">
        <f t="shared" si="0"/>
        <v>0</v>
      </c>
    </row>
    <row r="13" spans="1:6" x14ac:dyDescent="0.15">
      <c r="A13" s="96" t="s">
        <v>21</v>
      </c>
      <c r="B13" s="97">
        <v>5</v>
      </c>
      <c r="C13" s="98" t="s">
        <v>10</v>
      </c>
      <c r="D13" s="101">
        <v>3</v>
      </c>
      <c r="E13" s="122"/>
      <c r="F13" s="147">
        <f t="shared" si="0"/>
        <v>0</v>
      </c>
    </row>
    <row r="14" spans="1:6" x14ac:dyDescent="0.15">
      <c r="F14" s="148">
        <f>SUM(F2:F13)</f>
        <v>0.12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总体目标</vt:lpstr>
      <vt:lpstr>重要规划与假设</vt:lpstr>
      <vt:lpstr>FAQ</vt:lpstr>
      <vt:lpstr>table (no research)</vt:lpstr>
      <vt:lpstr>table (after research)</vt:lpstr>
      <vt:lpstr>resource product</vt:lpstr>
      <vt:lpstr>resource_storage</vt:lpstr>
      <vt:lpstr>city building</vt:lpstr>
      <vt:lpstr>Research Enhancing</vt:lpstr>
      <vt:lpstr>resource needed- 3 types</vt:lpstr>
      <vt:lpstr>reward percentage</vt:lpstr>
      <vt:lpstr>gow data</vt:lpstr>
      <vt:lpstr>功能建筑权重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cp:lastPrinted>2014-09-05T06:02:46Z</cp:lastPrinted>
  <dcterms:created xsi:type="dcterms:W3CDTF">2014-09-03T09:39:28Z</dcterms:created>
  <dcterms:modified xsi:type="dcterms:W3CDTF">2014-09-11T02:20:49Z</dcterms:modified>
</cp:coreProperties>
</file>